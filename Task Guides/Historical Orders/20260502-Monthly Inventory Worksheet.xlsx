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KS\Task Guides\Current-Most Recent\"/>
    </mc:Choice>
  </mc:AlternateContent>
  <xr:revisionPtr revIDLastSave="0" documentId="13_ncr:1_{55AC73EA-D214-4907-86C6-55776B6C08F7}" xr6:coauthVersionLast="47" xr6:coauthVersionMax="47" xr10:uidLastSave="{00000000-0000-0000-0000-000000000000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69" i="1"/>
  <c r="E55" i="1"/>
  <c r="C128" i="1"/>
  <c r="C118" i="1"/>
  <c r="K128" i="1"/>
  <c r="K127" i="1"/>
  <c r="K126" i="1"/>
  <c r="K125" i="1"/>
  <c r="C125" i="1" s="1"/>
  <c r="K124" i="1"/>
  <c r="K123" i="1"/>
  <c r="K122" i="1"/>
  <c r="K121" i="1"/>
  <c r="K120" i="1"/>
  <c r="K119" i="1"/>
  <c r="K118" i="1"/>
  <c r="H115" i="1"/>
  <c r="K115" i="1" s="1"/>
  <c r="C115" i="1" s="1"/>
  <c r="H114" i="1"/>
  <c r="K114" i="1" s="1"/>
  <c r="C114" i="1" s="1"/>
  <c r="H113" i="1"/>
  <c r="K113" i="1" s="1"/>
  <c r="C113" i="1" s="1"/>
  <c r="H112" i="1"/>
  <c r="K112" i="1" s="1"/>
  <c r="C112" i="1" s="1"/>
  <c r="H111" i="1"/>
  <c r="K111" i="1" s="1"/>
  <c r="C111" i="1" s="1"/>
  <c r="H110" i="1"/>
  <c r="K110" i="1" s="1"/>
  <c r="C110" i="1" s="1"/>
  <c r="H109" i="1"/>
  <c r="K109" i="1" s="1"/>
  <c r="C109" i="1" s="1"/>
  <c r="H108" i="1"/>
  <c r="K108" i="1" s="1"/>
  <c r="C108" i="1" s="1"/>
  <c r="H107" i="1"/>
  <c r="K107" i="1" s="1"/>
  <c r="C107" i="1" s="1"/>
  <c r="H106" i="1"/>
  <c r="K106" i="1" s="1"/>
  <c r="C106" i="1" s="1"/>
  <c r="H105" i="1"/>
  <c r="K105" i="1" s="1"/>
  <c r="C105" i="1" s="1"/>
  <c r="H104" i="1"/>
  <c r="K104" i="1" s="1"/>
  <c r="C104" i="1" s="1"/>
  <c r="H103" i="1"/>
  <c r="K103" i="1" s="1"/>
  <c r="C103" i="1" s="1"/>
  <c r="H102" i="1"/>
  <c r="K102" i="1" s="1"/>
  <c r="C102" i="1" s="1"/>
  <c r="H101" i="1"/>
  <c r="K101" i="1" s="1"/>
  <c r="C101" i="1" s="1"/>
  <c r="H100" i="1"/>
  <c r="K100" i="1" s="1"/>
  <c r="C100" i="1" s="1"/>
  <c r="H99" i="1"/>
  <c r="K99" i="1" s="1"/>
  <c r="C99" i="1" s="1"/>
  <c r="H98" i="1"/>
  <c r="K98" i="1" s="1"/>
  <c r="C98" i="1" s="1"/>
  <c r="H97" i="1"/>
  <c r="K97" i="1" s="1"/>
  <c r="C97" i="1" s="1"/>
  <c r="H96" i="1"/>
  <c r="K96" i="1" s="1"/>
  <c r="C96" i="1" s="1"/>
  <c r="H95" i="1"/>
  <c r="K95" i="1" s="1"/>
  <c r="C95" i="1" s="1"/>
  <c r="H94" i="1"/>
  <c r="K94" i="1" s="1"/>
  <c r="C94" i="1" s="1"/>
  <c r="H93" i="1"/>
  <c r="K93" i="1" s="1"/>
  <c r="C93" i="1" s="1"/>
  <c r="H92" i="1"/>
  <c r="K92" i="1" s="1"/>
  <c r="C92" i="1" s="1"/>
  <c r="H91" i="1"/>
  <c r="K91" i="1" s="1"/>
  <c r="C91" i="1" s="1"/>
  <c r="H90" i="1"/>
  <c r="K90" i="1" s="1"/>
  <c r="C90" i="1" s="1"/>
  <c r="H89" i="1"/>
  <c r="K89" i="1" s="1"/>
  <c r="C89" i="1" s="1"/>
  <c r="H88" i="1"/>
  <c r="K88" i="1" s="1"/>
  <c r="C88" i="1" s="1"/>
  <c r="H87" i="1"/>
  <c r="K87" i="1" s="1"/>
  <c r="C87" i="1" s="1"/>
  <c r="H86" i="1"/>
  <c r="K86" i="1" s="1"/>
  <c r="C86" i="1" s="1"/>
  <c r="H85" i="1"/>
  <c r="K85" i="1" s="1"/>
  <c r="C85" i="1" s="1"/>
  <c r="H84" i="1"/>
  <c r="K84" i="1" s="1"/>
  <c r="C84" i="1" s="1"/>
  <c r="H83" i="1"/>
  <c r="K83" i="1" s="1"/>
  <c r="C83" i="1" s="1"/>
  <c r="H82" i="1"/>
  <c r="K82" i="1" s="1"/>
  <c r="C82" i="1" s="1"/>
  <c r="H81" i="1"/>
  <c r="K81" i="1" s="1"/>
  <c r="C81" i="1" s="1"/>
  <c r="H80" i="1"/>
  <c r="K80" i="1" s="1"/>
  <c r="C80" i="1" s="1"/>
  <c r="H79" i="1"/>
  <c r="K79" i="1" s="1"/>
  <c r="C79" i="1" s="1"/>
  <c r="H78" i="1"/>
  <c r="K78" i="1" s="1"/>
  <c r="C78" i="1" s="1"/>
  <c r="H77" i="1"/>
  <c r="K77" i="1" s="1"/>
  <c r="C77" i="1" s="1"/>
  <c r="H76" i="1"/>
  <c r="K76" i="1" s="1"/>
  <c r="C76" i="1" s="1"/>
  <c r="H75" i="1"/>
  <c r="K75" i="1" s="1"/>
  <c r="C75" i="1" s="1"/>
  <c r="H74" i="1"/>
  <c r="K74" i="1" s="1"/>
  <c r="C74" i="1" s="1"/>
  <c r="H73" i="1"/>
  <c r="K73" i="1" s="1"/>
  <c r="C73" i="1" s="1"/>
  <c r="H72" i="1"/>
  <c r="K72" i="1" s="1"/>
  <c r="C72" i="1" s="1"/>
  <c r="H71" i="1"/>
  <c r="K71" i="1" s="1"/>
  <c r="C71" i="1" s="1"/>
  <c r="H70" i="1"/>
  <c r="K70" i="1" s="1"/>
  <c r="C70" i="1" s="1"/>
  <c r="H69" i="1"/>
  <c r="K69" i="1" s="1"/>
  <c r="C69" i="1" s="1"/>
  <c r="H68" i="1"/>
  <c r="K68" i="1" s="1"/>
  <c r="C68" i="1" s="1"/>
  <c r="H67" i="1"/>
  <c r="K67" i="1" s="1"/>
  <c r="C67" i="1" s="1"/>
  <c r="H66" i="1"/>
  <c r="K66" i="1" s="1"/>
  <c r="C66" i="1" s="1"/>
  <c r="H65" i="1"/>
  <c r="K65" i="1" s="1"/>
  <c r="C65" i="1" s="1"/>
  <c r="H64" i="1"/>
  <c r="K64" i="1" s="1"/>
  <c r="C64" i="1" s="1"/>
  <c r="H63" i="1"/>
  <c r="K63" i="1" s="1"/>
  <c r="C63" i="1" s="1"/>
  <c r="H62" i="1"/>
  <c r="K62" i="1" s="1"/>
  <c r="C62" i="1" s="1"/>
  <c r="H61" i="1"/>
  <c r="K61" i="1" s="1"/>
  <c r="C61" i="1" s="1"/>
  <c r="H60" i="1"/>
  <c r="K60" i="1" s="1"/>
  <c r="C60" i="1" s="1"/>
  <c r="H59" i="1"/>
  <c r="K59" i="1" s="1"/>
  <c r="C59" i="1" s="1"/>
  <c r="H58" i="1"/>
  <c r="K58" i="1" s="1"/>
  <c r="C58" i="1" s="1"/>
  <c r="H57" i="1"/>
  <c r="K57" i="1" s="1"/>
  <c r="C57" i="1" s="1"/>
  <c r="H56" i="1"/>
  <c r="K56" i="1" s="1"/>
  <c r="C56" i="1" s="1"/>
  <c r="H55" i="1"/>
  <c r="K55" i="1" s="1"/>
  <c r="C55" i="1" s="1"/>
  <c r="H54" i="1"/>
  <c r="K54" i="1" s="1"/>
  <c r="C54" i="1" s="1"/>
  <c r="H53" i="1"/>
  <c r="K53" i="1" s="1"/>
  <c r="C53" i="1" s="1"/>
  <c r="H52" i="1"/>
  <c r="K52" i="1" s="1"/>
  <c r="C52" i="1" s="1"/>
  <c r="H51" i="1"/>
  <c r="K51" i="1" s="1"/>
  <c r="C51" i="1" s="1"/>
  <c r="H50" i="1"/>
  <c r="K50" i="1" s="1"/>
  <c r="C50" i="1" s="1"/>
  <c r="H49" i="1"/>
  <c r="K49" i="1" s="1"/>
  <c r="C49" i="1" s="1"/>
  <c r="H48" i="1"/>
  <c r="K48" i="1" s="1"/>
  <c r="C48" i="1" s="1"/>
  <c r="H47" i="1"/>
  <c r="K47" i="1" s="1"/>
  <c r="C47" i="1" s="1"/>
  <c r="H46" i="1"/>
  <c r="K46" i="1" s="1"/>
  <c r="C46" i="1" s="1"/>
  <c r="H45" i="1"/>
  <c r="K45" i="1" s="1"/>
  <c r="C45" i="1" s="1"/>
  <c r="H44" i="1"/>
  <c r="K44" i="1" s="1"/>
  <c r="C44" i="1" s="1"/>
  <c r="H43" i="1"/>
  <c r="K43" i="1" s="1"/>
  <c r="C43" i="1" s="1"/>
  <c r="H42" i="1"/>
  <c r="K42" i="1" s="1"/>
  <c r="C42" i="1" s="1"/>
  <c r="H41" i="1"/>
  <c r="K41" i="1" s="1"/>
  <c r="C41" i="1" s="1"/>
  <c r="H40" i="1"/>
  <c r="K40" i="1" s="1"/>
  <c r="C40" i="1" s="1"/>
  <c r="H39" i="1"/>
  <c r="K39" i="1" s="1"/>
  <c r="C39" i="1" s="1"/>
  <c r="H38" i="1"/>
  <c r="K38" i="1" s="1"/>
  <c r="C38" i="1" s="1"/>
  <c r="H37" i="1"/>
  <c r="K37" i="1" s="1"/>
  <c r="C37" i="1" s="1"/>
  <c r="H36" i="1"/>
  <c r="K36" i="1" s="1"/>
  <c r="C36" i="1" s="1"/>
  <c r="H35" i="1"/>
  <c r="K35" i="1" s="1"/>
  <c r="C35" i="1" s="1"/>
  <c r="H34" i="1"/>
  <c r="K34" i="1" s="1"/>
  <c r="C34" i="1" s="1"/>
  <c r="H33" i="1"/>
  <c r="K33" i="1" s="1"/>
  <c r="C33" i="1" s="1"/>
  <c r="H32" i="1"/>
  <c r="K32" i="1" s="1"/>
  <c r="C32" i="1" s="1"/>
  <c r="H31" i="1"/>
  <c r="K31" i="1" s="1"/>
  <c r="C31" i="1" s="1"/>
  <c r="H30" i="1"/>
  <c r="K30" i="1" s="1"/>
  <c r="C30" i="1" s="1"/>
  <c r="H29" i="1"/>
  <c r="K29" i="1" s="1"/>
  <c r="C29" i="1" s="1"/>
  <c r="H28" i="1"/>
  <c r="K28" i="1" s="1"/>
  <c r="C28" i="1" s="1"/>
  <c r="H27" i="1"/>
  <c r="K27" i="1" s="1"/>
  <c r="C27" i="1" s="1"/>
  <c r="H26" i="1"/>
  <c r="K26" i="1" s="1"/>
  <c r="C26" i="1" s="1"/>
  <c r="H25" i="1"/>
  <c r="K25" i="1" s="1"/>
  <c r="C25" i="1" s="1"/>
  <c r="H24" i="1"/>
  <c r="K24" i="1" s="1"/>
  <c r="C24" i="1" s="1"/>
  <c r="H23" i="1"/>
  <c r="K23" i="1" s="1"/>
  <c r="C23" i="1" s="1"/>
  <c r="H22" i="1"/>
  <c r="K22" i="1" s="1"/>
  <c r="C22" i="1" s="1"/>
  <c r="H21" i="1"/>
  <c r="K21" i="1" s="1"/>
  <c r="C21" i="1" s="1"/>
  <c r="H20" i="1"/>
  <c r="K20" i="1" s="1"/>
  <c r="C20" i="1" s="1"/>
  <c r="H19" i="1"/>
  <c r="K19" i="1" s="1"/>
  <c r="C19" i="1" s="1"/>
  <c r="H18" i="1"/>
  <c r="K18" i="1" s="1"/>
  <c r="C18" i="1" s="1"/>
  <c r="H17" i="1"/>
  <c r="K17" i="1" s="1"/>
  <c r="C17" i="1" s="1"/>
  <c r="H16" i="1"/>
  <c r="K16" i="1" s="1"/>
  <c r="C16" i="1" s="1"/>
  <c r="H15" i="1"/>
  <c r="K15" i="1" s="1"/>
  <c r="C15" i="1" s="1"/>
  <c r="H14" i="1"/>
  <c r="K14" i="1" s="1"/>
  <c r="C14" i="1" s="1"/>
  <c r="H13" i="1"/>
  <c r="K13" i="1" s="1"/>
  <c r="C13" i="1" s="1"/>
  <c r="H12" i="1"/>
  <c r="K12" i="1" s="1"/>
  <c r="C12" i="1" s="1"/>
  <c r="H11" i="1"/>
  <c r="K11" i="1" s="1"/>
  <c r="C11" i="1" s="1"/>
  <c r="H10" i="1"/>
  <c r="K10" i="1" s="1"/>
  <c r="C10" i="1" s="1"/>
  <c r="H9" i="1"/>
  <c r="K9" i="1" s="1"/>
  <c r="C9" i="1" s="1"/>
  <c r="H8" i="1"/>
  <c r="K8" i="1" s="1"/>
  <c r="C8" i="1" s="1"/>
  <c r="H7" i="1"/>
  <c r="K7" i="1" s="1"/>
  <c r="C7" i="1" s="1"/>
  <c r="H6" i="1"/>
  <c r="K6" i="1" s="1"/>
  <c r="C6" i="1" s="1"/>
  <c r="H5" i="1"/>
  <c r="K5" i="1" s="1"/>
  <c r="C5" i="1" s="1"/>
  <c r="H4" i="1"/>
  <c r="K4" i="1" s="1"/>
  <c r="C4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1" i="1"/>
  <c r="E22" i="1"/>
  <c r="E24" i="1"/>
  <c r="E25" i="1"/>
  <c r="E26" i="1"/>
  <c r="E27" i="1"/>
  <c r="E28" i="1"/>
  <c r="E29" i="1"/>
  <c r="E30" i="1"/>
  <c r="E31" i="1"/>
  <c r="E33" i="1"/>
  <c r="E34" i="1"/>
  <c r="E37" i="1"/>
  <c r="E38" i="1"/>
  <c r="E39" i="1"/>
  <c r="E40" i="1"/>
  <c r="E41" i="1"/>
  <c r="E42" i="1"/>
  <c r="E43" i="1"/>
  <c r="E44" i="1"/>
  <c r="E45" i="1"/>
  <c r="E46" i="1"/>
  <c r="E48" i="1"/>
  <c r="E50" i="1"/>
  <c r="E53" i="1"/>
  <c r="E54" i="1"/>
  <c r="E56" i="1"/>
  <c r="E57" i="1"/>
  <c r="E58" i="1"/>
  <c r="E59" i="1"/>
  <c r="E60" i="1"/>
  <c r="E61" i="1"/>
  <c r="E63" i="1"/>
  <c r="E64" i="1"/>
  <c r="E65" i="1"/>
  <c r="E66" i="1"/>
  <c r="E67" i="1"/>
  <c r="E68" i="1"/>
  <c r="E70" i="1"/>
  <c r="E72" i="1"/>
  <c r="E73" i="1"/>
  <c r="E75" i="1"/>
  <c r="E108" i="1"/>
  <c r="E113" i="1"/>
  <c r="C122" i="1" l="1"/>
  <c r="C123" i="1"/>
  <c r="C124" i="1"/>
  <c r="C120" i="1"/>
  <c r="C121" i="1"/>
</calcChain>
</file>

<file path=xl/sharedStrings.xml><?xml version="1.0" encoding="utf-8"?>
<sst xmlns="http://schemas.openxmlformats.org/spreadsheetml/2006/main" count="566" uniqueCount="362">
  <si>
    <t>Mukilteo Bishops' Storehouse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</si>
  <si>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</si>
  <si>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</si>
  <si>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</si>
  <si>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</si>
  <si>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</si>
  <si>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</si>
  <si>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</si>
  <si>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</si>
  <si>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Tuna Fish</t>
  </si>
  <si>
    <t>Chicken Breast Pieces</t>
  </si>
  <si>
    <t>Corn</t>
  </si>
  <si>
    <t>Green Beans</t>
  </si>
  <si>
    <t>Diced Tomatoes</t>
  </si>
  <si>
    <t>Tomato Sauce</t>
  </si>
  <si>
    <t>Chicken w/ Rotini Soup</t>
  </si>
  <si>
    <t>Tomato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</si>
  <si>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</si>
  <si>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</si>
  <si>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</si>
  <si>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</si>
  <si>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</si>
  <si>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</si>
  <si>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</si>
  <si>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Salsa</t>
  </si>
  <si>
    <t>Ketchup</t>
  </si>
  <si>
    <t>Honey</t>
  </si>
  <si>
    <t>Peanut Butter</t>
  </si>
  <si>
    <t>Baking Powder</t>
  </si>
  <si>
    <t>Cinnamon</t>
  </si>
  <si>
    <t>Vanilla Pudding</t>
  </si>
  <si>
    <t>Strawberry Gelatin</t>
  </si>
  <si>
    <t>Pancake Syrup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</si>
  <si>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</si>
  <si>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</si>
  <si>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</si>
  <si>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</si>
  <si>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</si>
  <si>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</si>
  <si>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</si>
  <si>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</si>
  <si>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</si>
  <si>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</si>
  <si>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</si>
  <si>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</si>
  <si>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</si>
  <si>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</si>
  <si>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</si>
  <si>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</si>
  <si>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</si>
  <si>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</si>
  <si>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</si>
  <si>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</si>
  <si>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</si>
  <si>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</si>
  <si>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</si>
  <si>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</si>
  <si>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 xml:space="preserve">Spaghetti </t>
  </si>
  <si>
    <t>Dry Milk</t>
  </si>
  <si>
    <t>Hot Cocoa</t>
  </si>
  <si>
    <t>Butter</t>
  </si>
  <si>
    <t>Cheese</t>
  </si>
  <si>
    <t>Beef Stewing</t>
  </si>
  <si>
    <t>Beef Roast</t>
  </si>
  <si>
    <t>Ham</t>
  </si>
  <si>
    <t>Pork Sausage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</si>
  <si>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</si>
  <si>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</si>
  <si>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</si>
  <si>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</si>
  <si>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</si>
  <si>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</si>
  <si>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</si>
  <si>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</si>
  <si>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</si>
  <si>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</si>
  <si>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</si>
  <si>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</si>
  <si>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</si>
  <si>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</si>
  <si>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</si>
  <si>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</si>
  <si>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Women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</si>
  <si>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</si>
  <si>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</si>
  <si>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</si>
  <si>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</si>
  <si>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</si>
  <si>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</si>
  <si>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</si>
  <si>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</si>
  <si>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T-shirt bags</t>
  </si>
  <si>
    <t>Cooler</t>
  </si>
  <si>
    <t>Monthly Order Process</t>
  </si>
  <si>
    <t>4,2</t>
  </si>
  <si>
    <t>Produce Vented Bags</t>
  </si>
  <si>
    <t>Shrink Wrap</t>
  </si>
  <si>
    <t>Paper Bags</t>
  </si>
  <si>
    <t>Milk Boxes</t>
  </si>
  <si>
    <t>Items
Per 
case</t>
  </si>
  <si>
    <t>Items
Per
tier</t>
  </si>
  <si>
    <t>Notes:</t>
  </si>
  <si>
    <t>1. Endeavor to order by the tier, and when the item -- such as Baby Cereal -- does</t>
  </si>
  <si>
    <t>not justify an entire tier then order by the case.</t>
  </si>
  <si>
    <t>items are only shipped on the monthly orders. It does not have a location on</t>
  </si>
  <si>
    <t>2. When you order a number other than the number this worksheet recommends</t>
  </si>
  <si>
    <t>3. Currently, bread is shipped on the monthy order -- as it is frozen, and frozen</t>
  </si>
  <si>
    <t xml:space="preserve"> next month.</t>
  </si>
  <si>
    <t>any form, so apparently we must contact Michael personally to change our count.</t>
  </si>
  <si>
    <t>month supply calculation</t>
  </si>
  <si>
    <t>6. The number in C2 is the multiplier for the number of months of inventory we</t>
  </si>
  <si>
    <t>seek to have in stock when the next order is received.</t>
  </si>
  <si>
    <t>Product name</t>
  </si>
  <si>
    <t>Item number</t>
  </si>
  <si>
    <t>Transfer quantity</t>
  </si>
  <si>
    <t>Great Northern Beans</t>
  </si>
  <si>
    <t>Instant Potatoes 12/28oz</t>
  </si>
  <si>
    <t>Soup, Cream Chicken</t>
  </si>
  <si>
    <t>Soup, Cream Mushroom</t>
  </si>
  <si>
    <t>Spaghetti Sauce 26.5oz</t>
  </si>
  <si>
    <t>Evaporated Milk</t>
  </si>
  <si>
    <t>Baking Soda 12/12oz</t>
  </si>
  <si>
    <t>Pudding, Chocolate</t>
  </si>
  <si>
    <t>Black Pepper 12/ct</t>
  </si>
  <si>
    <t>Baby Cereal- 8oz.</t>
  </si>
  <si>
    <t>Rice 2#</t>
  </si>
  <si>
    <t>Oats, Rolled</t>
  </si>
  <si>
    <t>Apples</t>
  </si>
  <si>
    <t>Beef Ground</t>
  </si>
  <si>
    <t>Pork Roast- 10 Count</t>
  </si>
  <si>
    <t>IQF Chicken Breast</t>
  </si>
  <si>
    <t>Beef Franks</t>
  </si>
  <si>
    <t>Liquid Bleach Concentrate (New)</t>
  </si>
  <si>
    <t>Sanitary Pads</t>
  </si>
  <si>
    <t>Deodorant, Men</t>
  </si>
  <si>
    <t>Toilet Paper 4 pack</t>
  </si>
  <si>
    <t>Shaving Cream 10 oz. (New)</t>
  </si>
  <si>
    <t>Michael's POF spreadsheet, placing his "Item number" field on this sheet's 03 cell.</t>
  </si>
  <si>
    <t>3. Collect paperwork for upcoming humanitarian orders that are to be delivered during the</t>
  </si>
  <si>
    <t>5. Collect Michael's Planned Order Form -- usually on the 1st of the month. Copy and paste</t>
  </si>
  <si>
    <t>8. E-File the form returned to Michael into the Monthly Orders folder.</t>
  </si>
  <si>
    <t>column will probably be some multiple of the Wirtz Minimum. The multiplier is stored</t>
  </si>
  <si>
    <t>-- and can be edited -- in cell $C$2.</t>
  </si>
  <si>
    <t>Items we can get from Michael or Laura apart from this order sheet if we ask via email</t>
  </si>
  <si>
    <t>Box Cutters</t>
  </si>
  <si>
    <t>Dummy product</t>
  </si>
  <si>
    <t xml:space="preserve">items with a “best-by” date 10 days in the future or less should be taken off the shelf and </t>
  </si>
  <si>
    <t>donated to a qualified local charitable organization. Your field office has a list of approved</t>
  </si>
  <si>
    <t>Operational Guide, section 6.7 Stocking Shelves.</t>
  </si>
  <si>
    <r>
      <t xml:space="preserve">local charitable organizations. </t>
    </r>
    <r>
      <rPr>
        <i/>
        <sz val="11"/>
        <color theme="1"/>
        <rFont val="Aptos Narrow"/>
        <family val="2"/>
        <scheme val="minor"/>
      </rPr>
      <t>This is found in the Restock section of the Storehouse</t>
    </r>
  </si>
  <si>
    <t>000003</t>
  </si>
  <si>
    <t>000006</t>
  </si>
  <si>
    <t>000053</t>
  </si>
  <si>
    <t>000009</t>
  </si>
  <si>
    <t>000012</t>
  </si>
  <si>
    <t>000014</t>
  </si>
  <si>
    <t>000015</t>
  </si>
  <si>
    <t>000016</t>
  </si>
  <si>
    <t>000018</t>
  </si>
  <si>
    <t>000019</t>
  </si>
  <si>
    <t>000024</t>
  </si>
  <si>
    <t>000027</t>
  </si>
  <si>
    <t>000035</t>
  </si>
  <si>
    <t>000037</t>
  </si>
  <si>
    <t>000039</t>
  </si>
  <si>
    <t>000042</t>
  </si>
  <si>
    <t>000045</t>
  </si>
  <si>
    <t>000046</t>
  </si>
  <si>
    <t>000048</t>
  </si>
  <si>
    <t>000054</t>
  </si>
  <si>
    <t>000056</t>
  </si>
  <si>
    <t>000061</t>
  </si>
  <si>
    <t>000064</t>
  </si>
  <si>
    <t>000086</t>
  </si>
  <si>
    <t>000089</t>
  </si>
  <si>
    <t>000090</t>
  </si>
  <si>
    <t>000093</t>
  </si>
  <si>
    <t>000094</t>
  </si>
  <si>
    <t>000098</t>
  </si>
  <si>
    <t>000100</t>
  </si>
  <si>
    <t>000102</t>
  </si>
  <si>
    <t>000106</t>
  </si>
  <si>
    <t>000109</t>
  </si>
  <si>
    <t>000114</t>
  </si>
  <si>
    <t>000121</t>
  </si>
  <si>
    <t>000124</t>
  </si>
  <si>
    <t>000135</t>
  </si>
  <si>
    <t>000139</t>
  </si>
  <si>
    <t>000141</t>
  </si>
  <si>
    <t>000145</t>
  </si>
  <si>
    <t>000147</t>
  </si>
  <si>
    <t>000151</t>
  </si>
  <si>
    <t>000152</t>
  </si>
  <si>
    <t>000153</t>
  </si>
  <si>
    <t>000159</t>
  </si>
  <si>
    <t>000162</t>
  </si>
  <si>
    <t>000167</t>
  </si>
  <si>
    <t>000168</t>
  </si>
  <si>
    <t>000172</t>
  </si>
  <si>
    <t>000178</t>
  </si>
  <si>
    <t>000182</t>
  </si>
  <si>
    <t>000184</t>
  </si>
  <si>
    <t>000187</t>
  </si>
  <si>
    <t>000189</t>
  </si>
  <si>
    <t>000206</t>
  </si>
  <si>
    <t>000208</t>
  </si>
  <si>
    <t>000209</t>
  </si>
  <si>
    <t>000211</t>
  </si>
  <si>
    <t>000212</t>
  </si>
  <si>
    <t>000213</t>
  </si>
  <si>
    <t>000219</t>
  </si>
  <si>
    <t>000222</t>
  </si>
  <si>
    <t>000223</t>
  </si>
  <si>
    <t>000226</t>
  </si>
  <si>
    <t>000228</t>
  </si>
  <si>
    <t>000231</t>
  </si>
  <si>
    <t>000234</t>
  </si>
  <si>
    <t>000267</t>
  </si>
  <si>
    <t>000286</t>
  </si>
  <si>
    <t>000289</t>
  </si>
  <si>
    <t>000292</t>
  </si>
  <si>
    <t>000298</t>
  </si>
  <si>
    <t>000305</t>
  </si>
  <si>
    <t>000310</t>
  </si>
  <si>
    <t>000313</t>
  </si>
  <si>
    <t>000320</t>
  </si>
  <si>
    <t>000325</t>
  </si>
  <si>
    <t>000329</t>
  </si>
  <si>
    <t>000331</t>
  </si>
  <si>
    <t>000336</t>
  </si>
  <si>
    <t>000343</t>
  </si>
  <si>
    <t>000345</t>
  </si>
  <si>
    <t>000350</t>
  </si>
  <si>
    <t>000351</t>
  </si>
  <si>
    <t>000354</t>
  </si>
  <si>
    <t>000357</t>
  </si>
  <si>
    <t>000359</t>
  </si>
  <si>
    <t>000362</t>
  </si>
  <si>
    <t>000363</t>
  </si>
  <si>
    <t>000365</t>
  </si>
  <si>
    <t>000366</t>
  </si>
  <si>
    <t>000369</t>
  </si>
  <si>
    <t>000370</t>
  </si>
  <si>
    <t>000371</t>
  </si>
  <si>
    <t>000390</t>
  </si>
  <si>
    <t>000395</t>
  </si>
  <si>
    <t>000399</t>
  </si>
  <si>
    <t>000406</t>
  </si>
  <si>
    <t>000407</t>
  </si>
  <si>
    <t>000411</t>
  </si>
  <si>
    <t>000415</t>
  </si>
  <si>
    <t>000416</t>
  </si>
  <si>
    <t>000419</t>
  </si>
  <si>
    <t>000420</t>
  </si>
  <si>
    <t>000421</t>
  </si>
  <si>
    <t>000423</t>
  </si>
  <si>
    <t>000426</t>
  </si>
  <si>
    <t>000430</t>
  </si>
  <si>
    <t>000437</t>
  </si>
  <si>
    <t>000439</t>
  </si>
  <si>
    <t>000440</t>
  </si>
  <si>
    <t>000442</t>
  </si>
  <si>
    <t>=YEARfrac(=today,d4)</t>
  </si>
  <si>
    <t>Monthly Inventory Worksheet, Version 2</t>
  </si>
  <si>
    <t>=IF(OR(DATEDIF(TODAY(),D11,"M")=1,DATEDIF(TODAY(),D11,"M"))=0,8,22)</t>
  </si>
  <si>
    <t>Surplus</t>
  </si>
  <si>
    <t>F
Wirtz Minimum
(in cases)</t>
  </si>
  <si>
    <t>10" Towel Dispenser Towels</t>
  </si>
  <si>
    <t>Gloves (S)</t>
  </si>
  <si>
    <t>Gloves (M)</t>
  </si>
  <si>
    <t>Gloves (L)</t>
  </si>
  <si>
    <t>Gloves (XL)</t>
  </si>
  <si>
    <t>4,0</t>
  </si>
  <si>
    <t>1,0</t>
  </si>
  <si>
    <t xml:space="preserve">1. Save this spreadsheet as its name plus the current date </t>
  </si>
  <si>
    <t>(e.g. Monthly Inventory Worksheet 20260226.xlsx.</t>
  </si>
  <si>
    <t>2. During the month between shipments, periodically inspect shop shelves and update the</t>
  </si>
  <si>
    <t xml:space="preserve">use by date column for each item. </t>
  </si>
  <si>
    <t>4. Collect upcoming surplus counts -- from expiring items. See #8 in Notes below. Items in</t>
  </si>
  <si>
    <t>the Surplus column (E) will be colored red when their use-by date indicates they are so.</t>
  </si>
  <si>
    <t>6. See that the values from #3-4 above are inserted into this spreadsheet.</t>
  </si>
  <si>
    <t>7. Mark up Michael's POF printout with any non-zero number that is in column C. Note the</t>
  </si>
  <si>
    <t>suggestion to round up to a tier or whole pallet given below in the notes. Scan Michael's</t>
  </si>
  <si>
    <t xml:space="preserve">updated POF and email it to him. Try to have this done the day you receive his original </t>
  </si>
  <si>
    <t>POF -- which will usually come via email on the 1st day of the month.</t>
  </si>
  <si>
    <t>show the number as bold and green in this spreadsheet's Michael Append column.</t>
  </si>
  <si>
    <t>4. Note that it is unnecessary for the rack count field to be filled if the shelf already</t>
  </si>
  <si>
    <t>contains more than the Wirtz Minimum.</t>
  </si>
  <si>
    <t>5. The operations guide specifies we maintain a 3-6 month stock of non-perishable items</t>
  </si>
  <si>
    <t>The Wirtz Minimum concerns only  the low end of what we expect to need for the next</t>
  </si>
  <si>
    <t xml:space="preserve">month's business, so the calculation used to produce the Michael Append </t>
  </si>
  <si>
    <t>7. If you will print this spreadsheet, be sure to only print the first six or seven pages</t>
  </si>
  <si>
    <t>to avoid printing unnecessarily.</t>
  </si>
  <si>
    <t>8. Non-perishable items with a “best-by” date 30 days or less in the future and perishable</t>
  </si>
  <si>
    <t>K
G+H-(I+J) Net Stock</t>
  </si>
  <si>
    <t>3,2,2</t>
  </si>
  <si>
    <t>3,2,1</t>
  </si>
  <si>
    <t>1,1,1</t>
  </si>
  <si>
    <t>Storehouse
Location Row  Column Shelf</t>
  </si>
  <si>
    <t>1,2,2</t>
  </si>
  <si>
    <t>1,2,1</t>
  </si>
  <si>
    <t>1,3,1</t>
  </si>
  <si>
    <t>1,3,2</t>
  </si>
  <si>
    <t>1,4,1</t>
  </si>
  <si>
    <t>1,4,2</t>
  </si>
  <si>
    <t>1,5,1</t>
  </si>
  <si>
    <t>1,5,2</t>
  </si>
  <si>
    <t>1,6,1</t>
  </si>
  <si>
    <t>2,1,1</t>
  </si>
  <si>
    <t>2,1,2</t>
  </si>
  <si>
    <t>2,2,2</t>
  </si>
  <si>
    <t>2,2,1</t>
  </si>
  <si>
    <t>2,3,2</t>
  </si>
  <si>
    <t>2,3,1</t>
  </si>
  <si>
    <t>2,4,1</t>
  </si>
  <si>
    <t>2,4,2</t>
  </si>
  <si>
    <t>2,5,2</t>
  </si>
  <si>
    <t>2,5,1</t>
  </si>
  <si>
    <t>2,7,4</t>
  </si>
  <si>
    <t>2,7,1</t>
  </si>
  <si>
    <t>2,6,1</t>
  </si>
  <si>
    <t>2,6,2</t>
  </si>
  <si>
    <t>2,7,3</t>
  </si>
  <si>
    <t>2,7,2</t>
  </si>
  <si>
    <t>3,3,1</t>
  </si>
  <si>
    <t>3,3,2</t>
  </si>
  <si>
    <t>3,4,2</t>
  </si>
  <si>
    <t>3,4,1</t>
  </si>
  <si>
    <t>3,5,2</t>
  </si>
  <si>
    <t>3,5,1</t>
  </si>
  <si>
    <t>3,6,1</t>
  </si>
  <si>
    <t>3,6,2</t>
  </si>
  <si>
    <t>4,2,1</t>
  </si>
  <si>
    <t>4,4,2</t>
  </si>
  <si>
    <t>4,4,1</t>
  </si>
  <si>
    <t>4,5,2</t>
  </si>
  <si>
    <t>4,5,1</t>
  </si>
  <si>
    <t>Soonest
 Use-by
Date 
        1</t>
  </si>
  <si>
    <t>I
Send to surplus
      3</t>
  </si>
  <si>
    <t>J
Upcoming Humanitarian count
            4</t>
  </si>
  <si>
    <t>G
Current Rack
count 
(if below Wirtz #)
     2</t>
  </si>
  <si>
    <t>H Transfer quantity (pasted into  Michael's POF area) 
      5</t>
  </si>
  <si>
    <t>Michael's POF</t>
  </si>
  <si>
    <t>Add this number to Michael's POF Tranfer Quantity and return to him
        6</t>
  </si>
  <si>
    <t>Diced Tomatoes 401</t>
  </si>
  <si>
    <t>Soup, Chicken Flavored Rotini</t>
  </si>
  <si>
    <t>Applesauce 26.5oz</t>
  </si>
  <si>
    <t>Baking Powder 12/8.1oz</t>
  </si>
  <si>
    <t>Gelatin, Strawberry (new)</t>
  </si>
  <si>
    <t>Sugar, Brown</t>
  </si>
  <si>
    <t>Sugar, Powdered</t>
  </si>
  <si>
    <t>Flour, white 5lb</t>
  </si>
  <si>
    <t>Raisin Bran 10ct/22oz</t>
  </si>
  <si>
    <t>Spaghetti</t>
  </si>
  <si>
    <t>000255</t>
  </si>
  <si>
    <t>Potatoes</t>
  </si>
  <si>
    <t>Liquid Bleach Concentrate- DISCONTINUED</t>
  </si>
  <si>
    <t>Automatic Dishwasher Liquid</t>
  </si>
  <si>
    <t>Deodorant, Women</t>
  </si>
  <si>
    <t>Toothbrush, Adult</t>
  </si>
  <si>
    <t xml:space="preserve">Includes Johnny Fikru, Staci Camlin, and </t>
  </si>
  <si>
    <t>Lori Bugaj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</si>
</sst>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/>
    <xf numFmtId="0" fontId="5" fillId="0" borderId="0" xfId="0" applyFont="1"/>
    <xf numFmtId="49" fontId="4" fillId="0" borderId="2" xfId="0" applyNumberFormat="1" applyFont="1" applyBorder="1"/>
    <xf numFmtId="49" fontId="4" fillId="0" borderId="7" xfId="0" applyNumberFormat="1" applyFont="1" applyBorder="1"/>
    <xf numFmtId="49" fontId="0" fillId="0" borderId="0" xfId="0" applyNumberFormat="1"/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1" fontId="4" fillId="0" borderId="1" xfId="0" applyNumberFormat="1" applyFont="1" applyBorder="1"/>
    <xf numFmtId="1" fontId="4" fillId="0" borderId="8" xfId="0" applyNumberFormat="1" applyFont="1" applyBorder="1"/>
    <xf numFmtId="1" fontId="4" fillId="3" borderId="1" xfId="0" applyNumberFormat="1" applyFont="1" applyFill="1" applyBorder="1"/>
    <xf numFmtId="0" fontId="6" fillId="0" borderId="1" xfId="0" applyFont="1" applyBorder="1"/>
    <xf numFmtId="49" fontId="6" fillId="0" borderId="0" xfId="0" applyNumberFormat="1" applyFont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/>
    <xf numFmtId="0" fontId="4" fillId="4" borderId="1" xfId="0" applyFont="1" applyFill="1" applyBorder="1"/>
    <xf numFmtId="49" fontId="0" fillId="0" borderId="0" xfId="0" quotePrefix="1" applyNumberFormat="1" applyAlignment="1">
      <alignment horizontal="left"/>
    </xf>
    <xf numFmtId="49" fontId="4" fillId="0" borderId="0" xfId="0" applyNumberFormat="1" applyFont="1"/>
    <xf numFmtId="1" fontId="4" fillId="3" borderId="0" xfId="0" applyNumberFormat="1" applyFont="1" applyFill="1"/>
    <xf numFmtId="1" fontId="4" fillId="0" borderId="0" xfId="0" applyNumberFormat="1" applyFont="1"/>
    <xf numFmtId="0" fontId="4" fillId="0" borderId="0" xfId="0" applyFont="1"/>
    <xf numFmtId="1" fontId="0" fillId="0" borderId="0" xfId="0" applyNumberForma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" fontId="4" fillId="4" borderId="1" xfId="0" applyNumberFormat="1" applyFont="1" applyFill="1" applyBorder="1"/>
    <xf numFmtId="0" fontId="8" fillId="0" borderId="0" xfId="0" applyFont="1"/>
    <xf numFmtId="1" fontId="9" fillId="0" borderId="1" xfId="0" applyNumberFormat="1" applyFont="1" applyBorder="1"/>
    <xf numFmtId="1" fontId="10" fillId="0" borderId="1" xfId="0" applyNumberFormat="1" applyFont="1" applyBorder="1"/>
    <xf numFmtId="0" fontId="10" fillId="0" borderId="0" xfId="0" applyFont="1"/>
    <xf numFmtId="49" fontId="6" fillId="0" borderId="0" xfId="0" applyNumberFormat="1" applyFont="1" applyBorder="1" applyAlignment="1">
      <alignment horizontal="left"/>
    </xf>
    <xf numFmtId="0" fontId="6" fillId="0" borderId="8" xfId="0" applyFont="1" applyBorder="1"/>
  </cellXfs>
  <cellStyles count="1">
    <cellStyle name="Normal" xfId="0" builtinId="0"/>
  </cellStyles>
  <dxfs count="23">
    <dxf>
      <font>
        <color rgb="FFFF0000"/>
      </font>
      <fill>
        <patternFill>
          <bgColor rgb="FFFFC7CE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164" formatCode="yyyy\-mm\-dd;@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N115" totalsRowShown="0" headerRowDxfId="22" dataDxfId="20" headerRowBorderDxfId="21" tableBorderDxfId="19" totalsRowBorderDxfId="18">
  <autoFilter ref="A3:N115" xr:uid="{2AB65722-F916-4493-BF38-284E8ABE9D0A}"/>
  <sortState xmlns:xlrd2="http://schemas.microsoft.com/office/spreadsheetml/2017/richdata2" ref="A4:N115">
    <sortCondition ref="A4:A115"/>
  </sortState>
  <tableColumns count="14">
    <tableColumn id="1" xr3:uid="{68DB10E2-4767-4D79-B202-52116527DA7A}" name="Item number" dataDxfId="17"/>
    <tableColumn id="2" xr3:uid="{915A9499-71E9-4EFA-8ABE-577EAE3FB3A6}" name="Product name" dataDxfId="16"/>
    <tableColumn id="3" xr3:uid="{55C5AB36-3A0A-48DB-B57A-3B8D62594FEE}" name="Add this number to Michael's POF Tranfer Quantity and return to him_x000a_        6" dataDxfId="15">
      <calculatedColumnFormula>IF(AND($C$2*F4&gt;K4,G4+H4+I4+J4&lt;&gt;0),$C$2*F4-K4,0)</calculatedColumnFormula>
    </tableColumn>
    <tableColumn id="13" xr3:uid="{C44F50D1-C41F-4FBF-A924-95DF02631F2F}" name="Soonest_x000a_ Use-by_x000a_Date _x000a_        1" dataDxfId="14"/>
    <tableColumn id="16" xr3:uid="{21A66687-FCA1-4818-92EF-385830EF5740}" name="Surplus" dataDxfId="13">
      <calculatedColumnFormula>IF(OR(DATEDIF(TODAY(),D4,"M")=1,DATEDIF(TODAY(),D4,"M")=0),1,0)</calculatedColumnFormula>
    </tableColumn>
    <tableColumn id="4" xr3:uid="{A51A59C2-F09D-47DE-9678-959186B87BAF}" name="F_x000a_Wirtz Minimum_x000a_(in cases)" dataDxfId="12"/>
    <tableColumn id="5" xr3:uid="{CFFB1AD8-5493-4BF9-893B-0FC6BB270DC1}" name="G_x000a_Current Rack_x000a_count _x000a_(if below Wirtz #)_x000a_     2" dataDxfId="11"/>
    <tableColumn id="6" xr3:uid="{BA012646-0D3C-4C91-BE27-5661B1F09561}" name="H Transfer quantity (pasted into  Michael's POF area) _x000a_      5" dataDxfId="10"/>
    <tableColumn id="7" xr3:uid="{180F78FC-E2B7-4007-9AD2-369871A6C73B}" name="I_x000a_Send to surplus_x000a_      3" dataDxfId="9"/>
    <tableColumn id="8" xr3:uid="{33192EB8-1EE5-4FE3-85ED-AC633C7EE6E5}" name="J_x000a_Upcoming Humanitarian count_x000a_            4" dataDxfId="8"/>
    <tableColumn id="9" xr3:uid="{F8A1AD6F-AF64-4AF5-9407-B58BC417B45A}" name="K_x000a_G+H-(I+J) Net Stock" dataDxfId="7">
      <calculatedColumnFormula>G4+H4-(I4+J4)</calculatedColumnFormula>
    </tableColumn>
    <tableColumn id="10" xr3:uid="{E2AADA88-D0BD-4DE0-B8E2-AEED56034D20}" name="Items_x000a_Per _x000a_case" dataDxfId="6"/>
    <tableColumn id="11" xr3:uid="{EE71BAEE-B470-4398-B5D7-8DC7726EEDB3}" name="Items_x000a_Per_x000a_tier" dataDxfId="5"/>
    <tableColumn id="12" xr3:uid="{94E9E363-CE77-4DDD-A20A-931697D1BE9D}" name="Storehouse_x000a_Location Row  Column Shelf" dataDxfId="4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59C94C-1D9D-4C29-A53E-01B7C835D987}" name="AxTable1" displayName="AxTable1" ref="O3:Q115" totalsRowShown="0">
  <autoFilter ref="O3:Q115" xr:uid="{1F59C94C-1D9D-4C29-A53E-01B7C835D987}"/>
  <sortState xmlns:xlrd2="http://schemas.microsoft.com/office/spreadsheetml/2017/richdata2" ref="O4:P36">
    <sortCondition ref="O2:O34"/>
  </sortState>
  <tableColumns count="3">
    <tableColumn id="1" xr3:uid="{E7EAF50D-9938-4BE7-9F20-56E46EDFA26C}" name="Item number" dataDxfId="3"/>
    <tableColumn id="5" xr3:uid="{2A182CDF-A3F5-4DE6-9C9A-16F411B52937}" name="Product name" dataDxfId="2"/>
    <tableColumn id="2" xr3:uid="{D32553BB-055B-4242-A456-521883B88861}" name="Transfer 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S173"/>
  <sheetViews>
    <sheetView tabSelected="1" workbookViewId="0"/>
  </sheetViews>
  <sheetFormatPr defaultRowHeight="15" x14ac:dyDescent="0.25"/>
  <cols>
    <col min="1" max="1" width="7.28515625" customWidth="1"/>
    <col min="2" max="2" width="27" customWidth="1"/>
    <col min="3" max="3" width="8.7109375" customWidth="1"/>
    <col min="4" max="4" width="10.140625" customWidth="1"/>
    <col min="5" max="5" width="2" customWidth="1"/>
    <col min="6" max="6" width="8.7109375" customWidth="1"/>
    <col min="7" max="7" width="7" customWidth="1"/>
    <col min="8" max="8" width="8.140625" customWidth="1"/>
    <col min="9" max="9" width="6.7109375" customWidth="1"/>
    <col min="10" max="10" width="11" customWidth="1"/>
    <col min="11" max="11" width="5.7109375" customWidth="1"/>
    <col min="12" max="12" width="5.28515625" customWidth="1"/>
    <col min="13" max="13" width="5.140625" customWidth="1"/>
    <col min="14" max="14" width="10.140625" customWidth="1"/>
    <col min="15" max="15" width="16.85546875" customWidth="1"/>
    <col min="16" max="16" width="21.140625" customWidth="1"/>
    <col min="17" max="17" width="25" customWidth="1"/>
    <col min="18" max="18" width="21.5703125" customWidth="1"/>
    <col min="19" max="19" width="21.42578125" customWidth="1"/>
  </cols>
  <sheetData>
    <row r="1" spans="1:19" x14ac:dyDescent="0.25">
      <c r="A1" t="s">
        <v>0</v>
      </c>
      <c r="D1" s="1">
        <f ca="1">TODAY()</f>
        <v>46144</v>
      </c>
      <c r="F1" s="1"/>
    </row>
    <row r="2" spans="1:19" ht="21" x14ac:dyDescent="0.35">
      <c r="A2" t="s">
        <v>263</v>
      </c>
      <c r="C2">
        <v>1</v>
      </c>
      <c r="D2" t="s">
        <v>109</v>
      </c>
      <c r="H2" s="1"/>
      <c r="P2" s="39" t="s">
        <v>342</v>
      </c>
    </row>
    <row r="3" spans="1:19" s="4" customFormat="1" ht="123" customHeight="1" x14ac:dyDescent="0.25">
      <c r="A3" s="5" t="s">
        <v>113</v>
      </c>
      <c r="B3" s="6" t="s">
        <v>112</v>
      </c>
      <c r="C3" s="6" t="s">
        <v>343</v>
      </c>
      <c r="D3" s="6" t="s">
        <v>337</v>
      </c>
      <c r="E3" s="6" t="s">
        <v>265</v>
      </c>
      <c r="F3" s="6" t="s">
        <v>266</v>
      </c>
      <c r="G3" s="6" t="s">
        <v>340</v>
      </c>
      <c r="H3" s="6" t="s">
        <v>341</v>
      </c>
      <c r="I3" s="6" t="s">
        <v>338</v>
      </c>
      <c r="J3" s="6" t="s">
        <v>339</v>
      </c>
      <c r="K3" s="6" t="s">
        <v>294</v>
      </c>
      <c r="L3" s="6" t="s">
        <v>99</v>
      </c>
      <c r="M3" s="6" t="s">
        <v>100</v>
      </c>
      <c r="N3" s="7" t="s">
        <v>298</v>
      </c>
      <c r="O3" t="s">
        <v>113</v>
      </c>
      <c r="P3" t="s">
        <v>112</v>
      </c>
      <c r="Q3" t="s">
        <v>114</v>
      </c>
      <c r="R3"/>
      <c r="S3"/>
    </row>
    <row r="4" spans="1:19" x14ac:dyDescent="0.25">
      <c r="A4" s="17" t="s">
        <v>150</v>
      </c>
      <c r="B4" s="25" t="s">
        <v>3</v>
      </c>
      <c r="C4" s="24">
        <f>IF(AND($C$2*F4&gt;K4,G4+H4+I4+J4&lt;&gt;0),$C$2*F4-K4,0)</f>
        <v>5</v>
      </c>
      <c r="D4" s="28">
        <v>46539</v>
      </c>
      <c r="E4" s="8">
        <f ca="1">IF(OR(DATEDIF(TODAY(),D4,"M")=1,DATEDIF(TODAY(),D4,"M")=0),1,0)</f>
        <v>0</v>
      </c>
      <c r="F4" s="22">
        <v>5</v>
      </c>
      <c r="G4" s="22">
        <v>3</v>
      </c>
      <c r="H4" s="21">
        <f>_xlfn.XLOOKUP("000003", Sheet1!$O$4:$O$115, Sheet1!$Q$4:$Q$115,0)</f>
        <v>0</v>
      </c>
      <c r="I4" s="8"/>
      <c r="J4" s="8">
        <v>3</v>
      </c>
      <c r="K4" s="22">
        <f>G4+H4-(I4+J4)</f>
        <v>0</v>
      </c>
      <c r="L4" s="8">
        <v>24</v>
      </c>
      <c r="M4" s="8">
        <v>17</v>
      </c>
      <c r="N4" s="9" t="s">
        <v>295</v>
      </c>
      <c r="O4" s="13" t="s">
        <v>162</v>
      </c>
      <c r="P4" s="13" t="s">
        <v>116</v>
      </c>
      <c r="Q4" s="14">
        <v>12</v>
      </c>
      <c r="R4" s="29" t="s">
        <v>262</v>
      </c>
      <c r="S4" s="14"/>
    </row>
    <row r="5" spans="1:19" x14ac:dyDescent="0.25">
      <c r="A5" s="17" t="s">
        <v>151</v>
      </c>
      <c r="B5" s="25" t="s">
        <v>4</v>
      </c>
      <c r="C5" s="24">
        <f>IF(AND($C$2*F5&gt;K5,G5+H5+I5+J5&lt;&gt;0),$C$2*F5-K5,0)</f>
        <v>0</v>
      </c>
      <c r="D5" s="27">
        <v>46478</v>
      </c>
      <c r="E5" s="8">
        <f ca="1">IF(OR(DATEDIF(TODAY(),D5,"M")=1,DATEDIF(TODAY(),D5,"M")=0),1,0)</f>
        <v>0</v>
      </c>
      <c r="F5" s="22">
        <v>10</v>
      </c>
      <c r="G5" s="22">
        <v>67</v>
      </c>
      <c r="H5" s="21">
        <f>_xlfn.XLOOKUP("000006", Sheet1!$O$4:$O$115, Sheet1!$Q$4:$Q$115,0)</f>
        <v>0</v>
      </c>
      <c r="I5" s="8"/>
      <c r="J5" s="8">
        <v>28</v>
      </c>
      <c r="K5" s="22">
        <f>G5+H5-(I5+J5)</f>
        <v>39</v>
      </c>
      <c r="L5" s="8">
        <v>24</v>
      </c>
      <c r="M5" s="8">
        <v>17</v>
      </c>
      <c r="N5" s="10" t="s">
        <v>296</v>
      </c>
      <c r="O5" s="13" t="s">
        <v>163</v>
      </c>
      <c r="P5" s="13" t="s">
        <v>344</v>
      </c>
      <c r="Q5" s="14">
        <v>20</v>
      </c>
      <c r="R5" s="30" t="s">
        <v>264</v>
      </c>
      <c r="S5" s="14"/>
    </row>
    <row r="6" spans="1:19" x14ac:dyDescent="0.25">
      <c r="A6" s="17" t="s">
        <v>153</v>
      </c>
      <c r="B6" s="25" t="s">
        <v>5</v>
      </c>
      <c r="C6" s="24">
        <f>IF(AND($C$2*F6&gt;K6,G6+H6+I6+J6&lt;&gt;0),$C$2*F6-K6,0)</f>
        <v>0</v>
      </c>
      <c r="D6" s="27">
        <v>46478</v>
      </c>
      <c r="E6" s="8">
        <f ca="1">IF(OR(DATEDIF(TODAY(),D6,"M")=1,DATEDIF(TODAY(),D6,"M")=0),1,0)</f>
        <v>0</v>
      </c>
      <c r="F6" s="22">
        <v>17</v>
      </c>
      <c r="G6" s="22">
        <v>53</v>
      </c>
      <c r="H6" s="21">
        <f>_xlfn.XLOOKUP("000009", Sheet1!$O$4:$O$115, Sheet1!$Q$4:$Q$115,0)</f>
        <v>0</v>
      </c>
      <c r="I6" s="8"/>
      <c r="J6" s="8">
        <v>1</v>
      </c>
      <c r="K6" s="22">
        <f>G6+H6-(I6+J6)</f>
        <v>52</v>
      </c>
      <c r="L6" s="8">
        <v>24</v>
      </c>
      <c r="M6" s="8">
        <v>17</v>
      </c>
      <c r="N6" s="9" t="s">
        <v>296</v>
      </c>
      <c r="O6" s="13" t="s">
        <v>164</v>
      </c>
      <c r="P6" s="13" t="s">
        <v>14</v>
      </c>
      <c r="Q6" s="14">
        <v>17</v>
      </c>
      <c r="R6" s="13"/>
      <c r="S6" s="14"/>
    </row>
    <row r="7" spans="1:19" x14ac:dyDescent="0.25">
      <c r="A7" s="17" t="s">
        <v>154</v>
      </c>
      <c r="B7" s="25" t="s">
        <v>6</v>
      </c>
      <c r="C7" s="24">
        <f>IF(AND($C$2*F7&gt;K7,G7+H7+I7+J7&lt;&gt;0),$C$2*F7-K7,0)</f>
        <v>0</v>
      </c>
      <c r="D7" s="27">
        <v>46384</v>
      </c>
      <c r="E7" s="8">
        <f ca="1">IF(OR(DATEDIF(TODAY(),D7,"M")=1,DATEDIF(TODAY(),D7,"M")=0),1,0)</f>
        <v>0</v>
      </c>
      <c r="F7" s="22">
        <v>10</v>
      </c>
      <c r="G7" s="22">
        <v>39</v>
      </c>
      <c r="H7" s="21">
        <f>_xlfn.XLOOKUP("000012", Sheet1!$O$4:$O$115, Sheet1!$Q$4:$Q$115,0)</f>
        <v>0</v>
      </c>
      <c r="I7" s="8"/>
      <c r="J7" s="8"/>
      <c r="K7" s="22">
        <f>G7+H7-(I7+J7)</f>
        <v>39</v>
      </c>
      <c r="L7" s="8">
        <v>24</v>
      </c>
      <c r="M7" s="8">
        <v>17</v>
      </c>
      <c r="N7" s="9" t="s">
        <v>295</v>
      </c>
      <c r="O7" s="13" t="s">
        <v>165</v>
      </c>
      <c r="P7" s="13" t="s">
        <v>345</v>
      </c>
      <c r="Q7" s="14">
        <v>17</v>
      </c>
      <c r="R7" s="13"/>
      <c r="S7" s="14"/>
    </row>
    <row r="8" spans="1:19" x14ac:dyDescent="0.25">
      <c r="A8" s="17" t="s">
        <v>155</v>
      </c>
      <c r="B8" s="25" t="s">
        <v>7</v>
      </c>
      <c r="C8" s="24">
        <f>IF(AND($C$2*F8&gt;K8,G8+H8+I8+J8&lt;&gt;0),$C$2*F8-K8,0)</f>
        <v>0</v>
      </c>
      <c r="D8" s="27">
        <v>46539</v>
      </c>
      <c r="E8" s="8">
        <f ca="1">IF(OR(DATEDIF(TODAY(),D8,"M")=1,DATEDIF(TODAY(),D8,"M")=0),1,0)</f>
        <v>0</v>
      </c>
      <c r="F8" s="22">
        <v>5</v>
      </c>
      <c r="G8" s="22">
        <v>24</v>
      </c>
      <c r="H8" s="21">
        <f>_xlfn.XLOOKUP("000014", Sheet1!$O$4:$O$115, Sheet1!$Q$4:$Q$115,0)</f>
        <v>0</v>
      </c>
      <c r="I8" s="8"/>
      <c r="J8" s="8"/>
      <c r="K8" s="22">
        <f>G8+H8-(I8+J8)</f>
        <v>24</v>
      </c>
      <c r="L8" s="8">
        <v>24</v>
      </c>
      <c r="M8" s="8">
        <v>17</v>
      </c>
      <c r="N8" s="9" t="s">
        <v>334</v>
      </c>
      <c r="O8" s="13" t="s">
        <v>170</v>
      </c>
      <c r="P8" s="13" t="s">
        <v>346</v>
      </c>
      <c r="Q8" s="14">
        <v>14</v>
      </c>
      <c r="R8" s="13"/>
      <c r="S8" s="14"/>
    </row>
    <row r="9" spans="1:19" x14ac:dyDescent="0.25">
      <c r="A9" s="17" t="s">
        <v>156</v>
      </c>
      <c r="B9" s="25" t="s">
        <v>8</v>
      </c>
      <c r="C9" s="24">
        <f>IF(AND($C$2*F9&gt;K9,G9+H9+I9+J9&lt;&gt;0),$C$2*F9-K9,0)</f>
        <v>0</v>
      </c>
      <c r="D9" s="27">
        <v>46966</v>
      </c>
      <c r="E9" s="8">
        <f ca="1">IF(OR(DATEDIF(TODAY(),D9,"M")=1,DATEDIF(TODAY(),D9,"M")=0),1,0)</f>
        <v>0</v>
      </c>
      <c r="F9" s="22">
        <v>4</v>
      </c>
      <c r="G9" s="22">
        <v>10</v>
      </c>
      <c r="H9" s="21">
        <f>_xlfn.XLOOKUP("000015", Sheet1!$O$4:$O$115, Sheet1!$Q$4:$Q$115,0)</f>
        <v>0</v>
      </c>
      <c r="I9" s="8"/>
      <c r="J9" s="8"/>
      <c r="K9" s="22">
        <f>G9+H9-(I9+J9)</f>
        <v>10</v>
      </c>
      <c r="L9" s="8">
        <v>24</v>
      </c>
      <c r="M9" s="8">
        <v>17</v>
      </c>
      <c r="N9" s="9" t="s">
        <v>333</v>
      </c>
      <c r="O9" s="13" t="s">
        <v>179</v>
      </c>
      <c r="P9" s="13" t="s">
        <v>120</v>
      </c>
      <c r="Q9" s="14">
        <v>9</v>
      </c>
      <c r="R9" s="13"/>
      <c r="S9" s="14"/>
    </row>
    <row r="10" spans="1:19" x14ac:dyDescent="0.25">
      <c r="A10" s="17" t="s">
        <v>157</v>
      </c>
      <c r="B10" s="43" t="s">
        <v>115</v>
      </c>
      <c r="C10" s="24">
        <f>IF(AND($C$2*F10&gt;K10,G10+H10+I10+J10&lt;&gt;0),$C$2*F10-K10,0)</f>
        <v>0</v>
      </c>
      <c r="D10" s="27">
        <v>46569</v>
      </c>
      <c r="E10" s="8">
        <f ca="1">IF(OR(DATEDIF(TODAY(),D10,"M")=1,DATEDIF(TODAY(),D10,"M")=0),1,0)</f>
        <v>0</v>
      </c>
      <c r="F10" s="22">
        <v>5</v>
      </c>
      <c r="G10" s="22">
        <v>19</v>
      </c>
      <c r="H10" s="21">
        <f>_xlfn.XLOOKUP("000016", Sheet1!$O$4:$O$115, Sheet1!$Q$4:$Q$115,0)</f>
        <v>0</v>
      </c>
      <c r="I10" s="8"/>
      <c r="J10" s="8"/>
      <c r="K10" s="22">
        <f>G10+H10-(I10+J10)</f>
        <v>19</v>
      </c>
      <c r="L10" s="8">
        <v>24</v>
      </c>
      <c r="M10" s="8">
        <v>17</v>
      </c>
      <c r="N10" s="9" t="s">
        <v>334</v>
      </c>
      <c r="O10" s="13" t="s">
        <v>181</v>
      </c>
      <c r="P10" s="13" t="s">
        <v>347</v>
      </c>
      <c r="Q10" s="14">
        <v>4</v>
      </c>
      <c r="R10" s="13"/>
      <c r="S10" s="14"/>
    </row>
    <row r="11" spans="1:19" x14ac:dyDescent="0.25">
      <c r="A11" s="17" t="s">
        <v>158</v>
      </c>
      <c r="B11" s="25" t="s">
        <v>9</v>
      </c>
      <c r="C11" s="24">
        <f>IF(AND($C$2*F11&gt;K11,G11+H11+I11+J11&lt;&gt;0),$C$2*F11-K11,0)</f>
        <v>0</v>
      </c>
      <c r="D11" s="27">
        <v>46600</v>
      </c>
      <c r="E11" s="8">
        <f ca="1">IF(OR(DATEDIF(TODAY(),D11,"M")=1,DATEDIF(TODAY(),D11,"M")=0),1,0)</f>
        <v>0</v>
      </c>
      <c r="F11" s="22">
        <v>5</v>
      </c>
      <c r="G11" s="22">
        <v>85</v>
      </c>
      <c r="H11" s="21">
        <f>_xlfn.XLOOKUP("000018", Sheet1!$O$4:$O$115, Sheet1!$Q$4:$Q$115,0)</f>
        <v>0</v>
      </c>
      <c r="I11" s="8"/>
      <c r="J11" s="8"/>
      <c r="K11" s="22">
        <f>G11+H11-(I11+J11)</f>
        <v>85</v>
      </c>
      <c r="L11" s="8">
        <v>48</v>
      </c>
      <c r="M11" s="8">
        <v>14</v>
      </c>
      <c r="N11" s="9" t="s">
        <v>324</v>
      </c>
      <c r="O11" s="13" t="s">
        <v>182</v>
      </c>
      <c r="P11" s="13" t="s">
        <v>121</v>
      </c>
      <c r="Q11" s="14">
        <v>8</v>
      </c>
      <c r="R11" s="13"/>
      <c r="S11" s="14"/>
    </row>
    <row r="12" spans="1:19" x14ac:dyDescent="0.25">
      <c r="A12" s="17" t="s">
        <v>159</v>
      </c>
      <c r="B12" s="25" t="s">
        <v>10</v>
      </c>
      <c r="C12" s="24">
        <f>IF(AND($C$2*F12&gt;K12,G12+H12+I12+J12&lt;&gt;0),$C$2*F12-K12,0)</f>
        <v>0</v>
      </c>
      <c r="D12" s="27">
        <v>46796</v>
      </c>
      <c r="E12" s="8">
        <f ca="1">IF(OR(DATEDIF(TODAY(),D12,"M")=1,DATEDIF(TODAY(),D12,"M")=0),1,0)</f>
        <v>0</v>
      </c>
      <c r="F12" s="22">
        <v>25</v>
      </c>
      <c r="G12" s="22">
        <v>54</v>
      </c>
      <c r="H12" s="21">
        <f>_xlfn.XLOOKUP("000019", Sheet1!$O$4:$O$115, Sheet1!$Q$4:$Q$115,0)</f>
        <v>0</v>
      </c>
      <c r="I12" s="8"/>
      <c r="J12" s="8">
        <v>2</v>
      </c>
      <c r="K12" s="22">
        <f>G12+H12-(I12+J12)</f>
        <v>52</v>
      </c>
      <c r="L12" s="8">
        <v>12</v>
      </c>
      <c r="M12" s="8">
        <v>16</v>
      </c>
      <c r="N12" s="9" t="s">
        <v>325</v>
      </c>
      <c r="O12" s="13" t="s">
        <v>183</v>
      </c>
      <c r="P12" s="13" t="s">
        <v>29</v>
      </c>
      <c r="Q12" s="14">
        <v>4</v>
      </c>
      <c r="R12" s="13"/>
      <c r="S12" s="14"/>
    </row>
    <row r="13" spans="1:19" x14ac:dyDescent="0.25">
      <c r="A13" s="17" t="s">
        <v>160</v>
      </c>
      <c r="B13" s="25" t="s">
        <v>11</v>
      </c>
      <c r="C13" s="24">
        <f>IF(AND($C$2*F13&gt;K13,G13+H13+I13+J13&lt;&gt;0),$C$2*F13-K13,0)</f>
        <v>0</v>
      </c>
      <c r="D13" s="27">
        <v>46631</v>
      </c>
      <c r="E13" s="8">
        <f ca="1">IF(OR(DATEDIF(TODAY(),D13,"M")=1,DATEDIF(TODAY(),D13,"M")=0),1,0)</f>
        <v>0</v>
      </c>
      <c r="F13" s="22">
        <v>17</v>
      </c>
      <c r="G13" s="22">
        <v>43</v>
      </c>
      <c r="H13" s="21">
        <f>_xlfn.XLOOKUP("000024", Sheet1!$O$4:$O$115, Sheet1!$Q$4:$Q$115,0)</f>
        <v>0</v>
      </c>
      <c r="I13" s="8"/>
      <c r="J13" s="8"/>
      <c r="K13" s="22">
        <f>G13+H13-(I13+J13)</f>
        <v>43</v>
      </c>
      <c r="L13" s="8">
        <v>24</v>
      </c>
      <c r="M13" s="8">
        <v>17</v>
      </c>
      <c r="N13" s="9" t="s">
        <v>326</v>
      </c>
      <c r="O13" s="13" t="s">
        <v>186</v>
      </c>
      <c r="P13" s="13" t="s">
        <v>348</v>
      </c>
      <c r="Q13" s="14">
        <v>4</v>
      </c>
      <c r="R13" s="13"/>
      <c r="S13" s="14"/>
    </row>
    <row r="14" spans="1:19" x14ac:dyDescent="0.25">
      <c r="A14" s="17" t="s">
        <v>161</v>
      </c>
      <c r="B14" s="25" t="s">
        <v>12</v>
      </c>
      <c r="C14" s="24">
        <f>IF(AND($C$2*F14&gt;K14,G14+H14+I14+J14&lt;&gt;0),$C$2*F14-K14,0)</f>
        <v>0</v>
      </c>
      <c r="D14" s="27">
        <v>46235</v>
      </c>
      <c r="E14" s="8">
        <f ca="1">IF(OR(DATEDIF(TODAY(),D14,"M")=1,DATEDIF(TODAY(),D14,"M")=0),1,0)</f>
        <v>0</v>
      </c>
      <c r="F14" s="22">
        <v>17</v>
      </c>
      <c r="G14" s="22">
        <v>26</v>
      </c>
      <c r="H14" s="21">
        <f>_xlfn.XLOOKUP("000027", Sheet1!$O$4:$O$115, Sheet1!$Q$4:$Q$115,0)</f>
        <v>0</v>
      </c>
      <c r="I14" s="8"/>
      <c r="J14" s="8"/>
      <c r="K14" s="22">
        <f>G14+H14-(I14+J14)</f>
        <v>26</v>
      </c>
      <c r="L14" s="8">
        <v>24</v>
      </c>
      <c r="M14" s="8">
        <v>17</v>
      </c>
      <c r="N14" s="9" t="s">
        <v>328</v>
      </c>
      <c r="O14" s="13" t="s">
        <v>188</v>
      </c>
      <c r="P14" s="13" t="s">
        <v>123</v>
      </c>
      <c r="Q14" s="14">
        <v>4</v>
      </c>
      <c r="R14" s="13"/>
      <c r="S14" s="14"/>
    </row>
    <row r="15" spans="1:19" x14ac:dyDescent="0.25">
      <c r="A15" s="17" t="s">
        <v>162</v>
      </c>
      <c r="B15" s="43" t="s">
        <v>116</v>
      </c>
      <c r="C15" s="24">
        <f>IF(AND($C$2*F15&gt;K15,G15+H15+I15+J15&lt;&gt;0),$C$2*F15-K15,0)</f>
        <v>0</v>
      </c>
      <c r="D15" s="27">
        <v>46204</v>
      </c>
      <c r="E15" s="8">
        <f ca="1">IF(OR(DATEDIF(TODAY(),D15,"M")=1,DATEDIF(TODAY(),D15,"M")=0),1,0)</f>
        <v>1</v>
      </c>
      <c r="F15" s="22">
        <v>5</v>
      </c>
      <c r="G15" s="22">
        <v>17</v>
      </c>
      <c r="H15" s="21">
        <f>_xlfn.XLOOKUP("000035", Sheet1!$O$4:$O$115, Sheet1!$Q$4:$Q$115,0)</f>
        <v>12</v>
      </c>
      <c r="I15" s="8"/>
      <c r="J15" s="8"/>
      <c r="K15" s="22">
        <f>G15+H15-(I15+J15)</f>
        <v>29</v>
      </c>
      <c r="L15" s="8">
        <v>12</v>
      </c>
      <c r="M15" s="8">
        <v>12</v>
      </c>
      <c r="N15" s="9" t="s">
        <v>316</v>
      </c>
      <c r="O15" s="13" t="s">
        <v>189</v>
      </c>
      <c r="P15" s="13" t="s">
        <v>33</v>
      </c>
      <c r="Q15" s="14">
        <v>9</v>
      </c>
      <c r="R15" s="13"/>
      <c r="S15" s="14"/>
    </row>
    <row r="16" spans="1:19" x14ac:dyDescent="0.25">
      <c r="A16" s="17" t="s">
        <v>163</v>
      </c>
      <c r="B16" s="25" t="s">
        <v>13</v>
      </c>
      <c r="C16" s="24">
        <f>IF(AND($C$2*F16&gt;K16,G16+H16+I16+J16&lt;&gt;0),$C$2*F16-K16,0)</f>
        <v>0</v>
      </c>
      <c r="D16" s="27">
        <v>46174</v>
      </c>
      <c r="E16" s="8">
        <f ca="1">IF(OR(DATEDIF(TODAY(),D16,"M")=1,DATEDIF(TODAY(),D16,"M")=0),1,0)</f>
        <v>1</v>
      </c>
      <c r="F16" s="22">
        <v>10</v>
      </c>
      <c r="G16" s="22">
        <v>15</v>
      </c>
      <c r="H16" s="21">
        <f>_xlfn.XLOOKUP("000037", Sheet1!$O$4:$O$115, Sheet1!$Q$4:$Q$115,0)</f>
        <v>20</v>
      </c>
      <c r="I16" s="8">
        <v>5</v>
      </c>
      <c r="J16" s="8"/>
      <c r="K16" s="22">
        <f>G16+H16-(I16+J16)</f>
        <v>30</v>
      </c>
      <c r="L16" s="8">
        <v>12</v>
      </c>
      <c r="M16" s="8">
        <v>10</v>
      </c>
      <c r="N16" s="9" t="s">
        <v>330</v>
      </c>
      <c r="O16" s="13" t="s">
        <v>191</v>
      </c>
      <c r="P16" s="13" t="s">
        <v>35</v>
      </c>
      <c r="Q16" s="14">
        <v>15</v>
      </c>
      <c r="R16" s="13"/>
      <c r="S16" s="14"/>
    </row>
    <row r="17" spans="1:19" x14ac:dyDescent="0.25">
      <c r="A17" s="17" t="s">
        <v>164</v>
      </c>
      <c r="B17" s="43" t="s">
        <v>14</v>
      </c>
      <c r="C17" s="24">
        <f>IF(AND($C$2*F17&gt;K17,G17+H17+I17+J17&lt;&gt;0),$C$2*F17-K17,0)</f>
        <v>0</v>
      </c>
      <c r="D17" s="27">
        <v>46327</v>
      </c>
      <c r="E17" s="8">
        <f ca="1">IF(OR(DATEDIF(TODAY(),D17,"M")=1,DATEDIF(TODAY(),D17,"M")=0),1,0)</f>
        <v>0</v>
      </c>
      <c r="F17" s="22">
        <v>5</v>
      </c>
      <c r="G17" s="22">
        <v>12</v>
      </c>
      <c r="H17" s="21">
        <f>_xlfn.XLOOKUP("000039", Sheet1!$O$4:$O$115, Sheet1!$Q$4:$Q$115,0)</f>
        <v>17</v>
      </c>
      <c r="I17" s="8"/>
      <c r="J17" s="8"/>
      <c r="K17" s="22">
        <f>G17+H17-(I17+J17)</f>
        <v>29</v>
      </c>
      <c r="L17" s="8">
        <v>24</v>
      </c>
      <c r="M17" s="8">
        <v>17</v>
      </c>
      <c r="N17" s="9" t="s">
        <v>328</v>
      </c>
      <c r="O17" s="13" t="s">
        <v>195</v>
      </c>
      <c r="P17" s="13" t="s">
        <v>349</v>
      </c>
      <c r="Q17" s="14">
        <v>12</v>
      </c>
      <c r="R17" s="13"/>
      <c r="S17" s="14"/>
    </row>
    <row r="18" spans="1:19" x14ac:dyDescent="0.25">
      <c r="A18" s="17" t="s">
        <v>165</v>
      </c>
      <c r="B18" s="25" t="s">
        <v>15</v>
      </c>
      <c r="C18" s="24">
        <f>IF(AND($C$2*F18&gt;K18,G18+H18+I18+J18&lt;&gt;0),$C$2*F18-K18,0)</f>
        <v>0</v>
      </c>
      <c r="D18" s="27">
        <v>46388</v>
      </c>
      <c r="E18" s="8">
        <f ca="1">IF(OR(DATEDIF(TODAY(),D18,"M")=1,DATEDIF(TODAY(),D18,"M")=0),1,0)</f>
        <v>0</v>
      </c>
      <c r="F18" s="22">
        <v>17</v>
      </c>
      <c r="G18" s="22">
        <v>40</v>
      </c>
      <c r="H18" s="21">
        <f>_xlfn.XLOOKUP("000042", Sheet1!$O$4:$O$115, Sheet1!$Q$4:$Q$115,0)</f>
        <v>17</v>
      </c>
      <c r="I18" s="8"/>
      <c r="J18" s="8">
        <v>2</v>
      </c>
      <c r="K18" s="22">
        <f>G18+H18-(I18+J18)</f>
        <v>55</v>
      </c>
      <c r="L18" s="8">
        <v>24</v>
      </c>
      <c r="M18" s="8">
        <v>17</v>
      </c>
      <c r="N18" s="9" t="s">
        <v>324</v>
      </c>
      <c r="O18" s="13" t="s">
        <v>197</v>
      </c>
      <c r="P18" s="13" t="s">
        <v>350</v>
      </c>
      <c r="Q18" s="14">
        <v>8</v>
      </c>
      <c r="R18" s="13"/>
      <c r="S18" s="14"/>
    </row>
    <row r="19" spans="1:19" x14ac:dyDescent="0.25">
      <c r="A19" s="17" t="s">
        <v>166</v>
      </c>
      <c r="B19" s="26" t="s">
        <v>117</v>
      </c>
      <c r="C19" s="24">
        <f>IF(AND($C$2*F19&gt;K19,G19+H19+I19+J19&lt;&gt;0),$C$2*F19-K19,0)</f>
        <v>0</v>
      </c>
      <c r="D19" s="27">
        <v>46327</v>
      </c>
      <c r="E19" s="8">
        <f ca="1">IF(OR(DATEDIF(TODAY(),D19,"M")=1,DATEDIF(TODAY(),D19,"M")=0),1,0)</f>
        <v>0</v>
      </c>
      <c r="F19" s="22">
        <v>10</v>
      </c>
      <c r="G19" s="22">
        <v>63</v>
      </c>
      <c r="H19" s="21">
        <f>_xlfn.XLOOKUP("000045", Sheet1!$O$4:$O$115, Sheet1!$Q$4:$Q$115,0)</f>
        <v>0</v>
      </c>
      <c r="I19" s="8"/>
      <c r="J19" s="8">
        <v>1</v>
      </c>
      <c r="K19" s="22">
        <f>G19+H19-(I19+J19)</f>
        <v>62</v>
      </c>
      <c r="L19" s="8">
        <v>24</v>
      </c>
      <c r="M19" s="8">
        <v>17</v>
      </c>
      <c r="N19" s="9" t="s">
        <v>325</v>
      </c>
      <c r="O19" s="13" t="s">
        <v>199</v>
      </c>
      <c r="P19" s="13" t="s">
        <v>43</v>
      </c>
      <c r="Q19" s="14">
        <v>1</v>
      </c>
      <c r="R19" s="13"/>
      <c r="S19" s="14"/>
    </row>
    <row r="20" spans="1:19" x14ac:dyDescent="0.25">
      <c r="A20" s="17" t="s">
        <v>167</v>
      </c>
      <c r="B20" s="25" t="s">
        <v>18</v>
      </c>
      <c r="C20" s="24">
        <f>IF(AND($C$2*F20&gt;K20,G20+H20+I20+J20&lt;&gt;0),$C$2*F20-K20,0)</f>
        <v>0</v>
      </c>
      <c r="D20" s="27"/>
      <c r="E20" s="8"/>
      <c r="F20" s="22">
        <v>5</v>
      </c>
      <c r="G20" s="22"/>
      <c r="H20" s="21">
        <f>_xlfn.XLOOKUP("000046", Sheet1!$O$4:$O$115, Sheet1!$Q$4:$Q$115,0)</f>
        <v>0</v>
      </c>
      <c r="I20" s="8"/>
      <c r="J20" s="8"/>
      <c r="K20" s="22">
        <f>G20+H20-(I20+J20)</f>
        <v>0</v>
      </c>
      <c r="L20" s="8">
        <v>48</v>
      </c>
      <c r="M20" s="8">
        <v>10</v>
      </c>
      <c r="N20" s="9" t="s">
        <v>325</v>
      </c>
      <c r="O20" s="13" t="s">
        <v>201</v>
      </c>
      <c r="P20" s="13" t="s">
        <v>44</v>
      </c>
      <c r="Q20" s="14">
        <v>4</v>
      </c>
      <c r="R20" s="13"/>
      <c r="S20" s="14"/>
    </row>
    <row r="21" spans="1:19" x14ac:dyDescent="0.25">
      <c r="A21" s="17" t="s">
        <v>168</v>
      </c>
      <c r="B21" s="25" t="s">
        <v>16</v>
      </c>
      <c r="C21" s="24">
        <f>IF(AND($C$2*F21&gt;K21,G21+H21+I21+J21&lt;&gt;0),$C$2*F21-K21,0)</f>
        <v>0</v>
      </c>
      <c r="D21" s="27">
        <v>46357</v>
      </c>
      <c r="E21" s="8">
        <f ca="1">IF(OR(DATEDIF(TODAY(),D21,"M")=1,DATEDIF(TODAY(),D21,"M")=0),1,0)</f>
        <v>0</v>
      </c>
      <c r="F21" s="22">
        <v>8</v>
      </c>
      <c r="G21" s="22">
        <v>60</v>
      </c>
      <c r="H21" s="21">
        <f>_xlfn.XLOOKUP("000048", Sheet1!$O$4:$O$115, Sheet1!$Q$4:$Q$115,0)</f>
        <v>0</v>
      </c>
      <c r="I21" s="8"/>
      <c r="J21" s="8"/>
      <c r="K21" s="22">
        <f>G21+H21-(I21+J21)</f>
        <v>60</v>
      </c>
      <c r="L21" s="8">
        <v>24</v>
      </c>
      <c r="M21" s="8">
        <v>17</v>
      </c>
      <c r="N21" s="9" t="s">
        <v>326</v>
      </c>
      <c r="O21" s="13" t="s">
        <v>208</v>
      </c>
      <c r="P21" s="13" t="s">
        <v>351</v>
      </c>
      <c r="Q21" s="14">
        <v>36</v>
      </c>
      <c r="R21" s="13"/>
      <c r="S21" s="14"/>
    </row>
    <row r="22" spans="1:19" x14ac:dyDescent="0.25">
      <c r="A22" s="17" t="s">
        <v>152</v>
      </c>
      <c r="B22" s="43" t="s">
        <v>118</v>
      </c>
      <c r="C22" s="24">
        <f>IF(AND($C$2*F22&gt;K22,G22+H22+I22+J22&lt;&gt;0),$C$2*F22-K22,0)</f>
        <v>17</v>
      </c>
      <c r="D22" s="27">
        <v>46692</v>
      </c>
      <c r="E22" s="8">
        <f ca="1">IF(OR(DATEDIF(TODAY(),D22,"M")=1,DATEDIF(TODAY(),D22,"M")=0),1,0)</f>
        <v>0</v>
      </c>
      <c r="F22" s="22">
        <v>10</v>
      </c>
      <c r="G22" s="22">
        <v>19</v>
      </c>
      <c r="H22" s="21">
        <f>_xlfn.XLOOKUP("000053", Sheet1!$O$4:$O$115, Sheet1!$Q$4:$Q$115,0)</f>
        <v>0</v>
      </c>
      <c r="I22" s="8"/>
      <c r="J22" s="8">
        <v>26</v>
      </c>
      <c r="K22" s="22">
        <f>G22+H22-(I22+J22)</f>
        <v>-7</v>
      </c>
      <c r="L22" s="8">
        <v>24</v>
      </c>
      <c r="M22" s="8">
        <v>17</v>
      </c>
      <c r="N22" s="9" t="s">
        <v>326</v>
      </c>
      <c r="O22" s="13" t="s">
        <v>210</v>
      </c>
      <c r="P22" s="13" t="s">
        <v>53</v>
      </c>
      <c r="Q22" s="14">
        <v>14</v>
      </c>
      <c r="R22" s="13"/>
      <c r="S22" s="14"/>
    </row>
    <row r="23" spans="1:19" x14ac:dyDescent="0.25">
      <c r="A23" s="17" t="s">
        <v>169</v>
      </c>
      <c r="B23" s="25" t="s">
        <v>17</v>
      </c>
      <c r="C23" s="24">
        <f>IF(AND($C$2*F23&gt;K23,G23+H23+I23+J23&lt;&gt;0),$C$2*F23-K23,0)</f>
        <v>0</v>
      </c>
      <c r="D23" s="27"/>
      <c r="E23" s="8"/>
      <c r="F23" s="22">
        <v>5</v>
      </c>
      <c r="G23" s="22"/>
      <c r="H23" s="21">
        <f>_xlfn.XLOOKUP("000054", Sheet1!$O$4:$O$115, Sheet1!$Q$4:$Q$115,0)</f>
        <v>0</v>
      </c>
      <c r="I23" s="8"/>
      <c r="J23" s="8"/>
      <c r="K23" s="22">
        <f>G23+H23-(I23+J23)</f>
        <v>0</v>
      </c>
      <c r="L23" s="8">
        <v>48</v>
      </c>
      <c r="M23" s="8">
        <v>17</v>
      </c>
      <c r="N23" s="9" t="s">
        <v>326</v>
      </c>
      <c r="O23" s="13" t="s">
        <v>212</v>
      </c>
      <c r="P23" s="13" t="s">
        <v>352</v>
      </c>
      <c r="Q23" s="14">
        <v>9</v>
      </c>
      <c r="R23" s="13"/>
      <c r="S23" s="14"/>
    </row>
    <row r="24" spans="1:19" x14ac:dyDescent="0.25">
      <c r="A24" s="17" t="s">
        <v>170</v>
      </c>
      <c r="B24" s="25" t="s">
        <v>19</v>
      </c>
      <c r="C24" s="24">
        <f>IF(AND($C$2*F24&gt;K24,G24+H24+I24+J24&lt;&gt;0),$C$2*F24-K24,0)</f>
        <v>0</v>
      </c>
      <c r="D24" s="27">
        <v>46661</v>
      </c>
      <c r="E24" s="8">
        <f ca="1">IF(OR(DATEDIF(TODAY(),D24,"M")=1,DATEDIF(TODAY(),D24,"M")=0),1,0)</f>
        <v>0</v>
      </c>
      <c r="F24" s="22">
        <v>9</v>
      </c>
      <c r="G24" s="22">
        <v>40</v>
      </c>
      <c r="H24" s="21">
        <f>_xlfn.XLOOKUP("000056", Sheet1!$O$4:$O$115, Sheet1!$Q$4:$Q$115,0)</f>
        <v>14</v>
      </c>
      <c r="I24" s="8"/>
      <c r="J24" s="8"/>
      <c r="K24" s="22">
        <f>G24+H24-(I24+J24)</f>
        <v>54</v>
      </c>
      <c r="L24" s="8">
        <v>12</v>
      </c>
      <c r="M24" s="8">
        <v>14</v>
      </c>
      <c r="N24" s="9" t="s">
        <v>327</v>
      </c>
      <c r="O24" s="13" t="s">
        <v>216</v>
      </c>
      <c r="P24" s="13" t="s">
        <v>353</v>
      </c>
      <c r="Q24" s="14">
        <v>12</v>
      </c>
      <c r="R24" s="13"/>
      <c r="S24" s="14"/>
    </row>
    <row r="25" spans="1:19" x14ac:dyDescent="0.25">
      <c r="A25" s="17" t="s">
        <v>171</v>
      </c>
      <c r="B25" s="43" t="s">
        <v>20</v>
      </c>
      <c r="C25" s="24">
        <f>IF(AND($C$2*F25&gt;K25,G25+H25+I25+J25&lt;&gt;0),$C$2*F25-K25,0)</f>
        <v>0</v>
      </c>
      <c r="D25" s="27">
        <v>46997</v>
      </c>
      <c r="E25" s="8">
        <f ca="1">IF(OR(DATEDIF(TODAY(),D25,"M")=1,DATEDIF(TODAY(),D25,"M")=0),1,0)</f>
        <v>0</v>
      </c>
      <c r="F25" s="22">
        <v>10</v>
      </c>
      <c r="G25" s="22">
        <v>50</v>
      </c>
      <c r="H25" s="21">
        <f>_xlfn.XLOOKUP("000061", Sheet1!$O$4:$O$115, Sheet1!$Q$4:$Q$115,0)</f>
        <v>0</v>
      </c>
      <c r="I25" s="8"/>
      <c r="J25" s="8"/>
      <c r="K25" s="22">
        <f>G25+H25-(I25+J25)</f>
        <v>50</v>
      </c>
      <c r="L25" s="8">
        <v>12</v>
      </c>
      <c r="M25" s="8">
        <v>10</v>
      </c>
      <c r="N25" s="9" t="s">
        <v>328</v>
      </c>
      <c r="O25" s="13" t="s">
        <v>354</v>
      </c>
      <c r="P25" s="13" t="s">
        <v>355</v>
      </c>
      <c r="Q25" s="14">
        <v>12</v>
      </c>
      <c r="R25" s="13"/>
      <c r="S25" s="14"/>
    </row>
    <row r="26" spans="1:19" x14ac:dyDescent="0.25">
      <c r="A26" s="17" t="s">
        <v>172</v>
      </c>
      <c r="B26" s="25" t="s">
        <v>21</v>
      </c>
      <c r="C26" s="24">
        <f>IF(AND($C$2*F26&gt;K26,G26+H26+I26+J26&lt;&gt;0),$C$2*F26-K26,0)</f>
        <v>0</v>
      </c>
      <c r="D26" s="27">
        <v>46661</v>
      </c>
      <c r="E26" s="8">
        <f ca="1">IF(OR(DATEDIF(TODAY(),D26,"M")=1,DATEDIF(TODAY(),D26,"M")=0),1,0)</f>
        <v>0</v>
      </c>
      <c r="F26" s="22">
        <v>10</v>
      </c>
      <c r="G26" s="22">
        <v>36</v>
      </c>
      <c r="H26" s="21">
        <f>_xlfn.XLOOKUP("00006", Sheet1!$O$4:$O$115, Sheet1!$Q$4:$Q$115,0)</f>
        <v>0</v>
      </c>
      <c r="I26" s="8"/>
      <c r="J26" s="8"/>
      <c r="K26" s="22">
        <f>G26+H26-(I26+J26)</f>
        <v>36</v>
      </c>
      <c r="L26" s="8">
        <v>12</v>
      </c>
      <c r="M26" s="8">
        <v>10</v>
      </c>
      <c r="N26" s="9" t="s">
        <v>329</v>
      </c>
      <c r="O26" s="13" t="s">
        <v>217</v>
      </c>
      <c r="P26" s="13" t="s">
        <v>127</v>
      </c>
      <c r="Q26" s="14">
        <v>10</v>
      </c>
      <c r="R26" s="13"/>
      <c r="S26" s="14"/>
    </row>
    <row r="27" spans="1:19" x14ac:dyDescent="0.25">
      <c r="A27" s="17" t="s">
        <v>173</v>
      </c>
      <c r="B27" s="25" t="s">
        <v>22</v>
      </c>
      <c r="C27" s="24">
        <f>IF(AND($C$2*F27&gt;K27,G27+H27+I27+J27&lt;&gt;0),$C$2*F27-K27,0)</f>
        <v>4</v>
      </c>
      <c r="D27" s="27">
        <v>46296</v>
      </c>
      <c r="E27" s="8">
        <f ca="1">IF(OR(DATEDIF(TODAY(),D27,"M")=1,DATEDIF(TODAY(),D27,"M")=0),1,0)</f>
        <v>0</v>
      </c>
      <c r="F27" s="22">
        <v>10</v>
      </c>
      <c r="G27" s="22">
        <v>6</v>
      </c>
      <c r="H27" s="21">
        <f>_xlfn.XLOOKUP("000086", Sheet1!$O$4:$O$115, Sheet1!$Q$4:$Q$115,0)</f>
        <v>0</v>
      </c>
      <c r="I27" s="8"/>
      <c r="J27" s="8"/>
      <c r="K27" s="22">
        <f>G27+H27-(I27+J27)</f>
        <v>6</v>
      </c>
      <c r="L27" s="8">
        <v>12</v>
      </c>
      <c r="M27" s="8">
        <v>20</v>
      </c>
      <c r="N27" s="9" t="s">
        <v>312</v>
      </c>
      <c r="O27" s="13" t="s">
        <v>219</v>
      </c>
      <c r="P27" s="13" t="s">
        <v>59</v>
      </c>
      <c r="Q27" s="14">
        <v>12</v>
      </c>
      <c r="R27" s="13"/>
      <c r="S27" s="14"/>
    </row>
    <row r="28" spans="1:19" x14ac:dyDescent="0.25">
      <c r="A28" s="17" t="s">
        <v>174</v>
      </c>
      <c r="B28" s="25" t="s">
        <v>23</v>
      </c>
      <c r="C28" s="24">
        <f>IF(AND($C$2*F28&gt;K28,G28+H28+I28+J28&lt;&gt;0),$C$2*F28-K28,0)</f>
        <v>2</v>
      </c>
      <c r="D28" s="27">
        <v>46508</v>
      </c>
      <c r="E28" s="8">
        <f ca="1">IF(OR(DATEDIF(TODAY(),D28,"M")=1,DATEDIF(TODAY(),D28,"M")=0),1,0)</f>
        <v>0</v>
      </c>
      <c r="F28" s="22">
        <v>10</v>
      </c>
      <c r="G28" s="22">
        <v>8</v>
      </c>
      <c r="H28" s="21">
        <f>_xlfn.XLOOKUP("000089", Sheet1!$O$4:$O$115, Sheet1!$Q$4:$Q$115,0)</f>
        <v>0</v>
      </c>
      <c r="I28" s="8"/>
      <c r="J28" s="8"/>
      <c r="K28" s="22">
        <f>G28+H28-(I28+J28)</f>
        <v>8</v>
      </c>
      <c r="L28" s="8">
        <v>12</v>
      </c>
      <c r="M28" s="8">
        <v>20</v>
      </c>
      <c r="N28" s="9" t="s">
        <v>312</v>
      </c>
      <c r="O28" s="13" t="s">
        <v>220</v>
      </c>
      <c r="P28" s="13" t="s">
        <v>60</v>
      </c>
      <c r="Q28" s="14">
        <v>13</v>
      </c>
      <c r="R28" s="13"/>
      <c r="S28" s="14"/>
    </row>
    <row r="29" spans="1:19" x14ac:dyDescent="0.25">
      <c r="A29" s="17" t="s">
        <v>175</v>
      </c>
      <c r="B29" s="43" t="s">
        <v>119</v>
      </c>
      <c r="C29" s="24">
        <f>IF(AND($C$2*F29&gt;K29,G29+H29+I29+J29&lt;&gt;0),$C$2*F29-K29,0)</f>
        <v>0</v>
      </c>
      <c r="D29" s="27">
        <v>46784</v>
      </c>
      <c r="E29" s="8">
        <f ca="1">IF(OR(DATEDIF(TODAY(),D29,"M")=1,DATEDIF(TODAY(),D29,"M")=0),1,0)</f>
        <v>0</v>
      </c>
      <c r="F29" s="22">
        <v>14</v>
      </c>
      <c r="G29" s="22">
        <v>56</v>
      </c>
      <c r="H29" s="21">
        <f>_xlfn.XLOOKUP("000090", Sheet1!$O$4:$O$115, Sheet1!$Q$4:$Q$115,0)</f>
        <v>0</v>
      </c>
      <c r="I29" s="8"/>
      <c r="J29" s="8"/>
      <c r="K29" s="22">
        <f>G29+H29-(I29+J29)</f>
        <v>56</v>
      </c>
      <c r="L29" s="8">
        <v>12</v>
      </c>
      <c r="M29" s="8">
        <v>14</v>
      </c>
      <c r="N29" s="9" t="s">
        <v>330</v>
      </c>
      <c r="O29" s="13" t="s">
        <v>221</v>
      </c>
      <c r="P29" s="13" t="s">
        <v>61</v>
      </c>
      <c r="Q29" s="14">
        <v>12</v>
      </c>
      <c r="R29" s="13"/>
      <c r="S29" s="14"/>
    </row>
    <row r="30" spans="1:19" x14ac:dyDescent="0.25">
      <c r="A30" s="17" t="s">
        <v>176</v>
      </c>
      <c r="B30" s="25" t="s">
        <v>24</v>
      </c>
      <c r="C30" s="24">
        <f>IF(AND($C$2*F30&gt;K30,G30+H30+I30+J30&lt;&gt;0),$C$2*F30-K30,0)</f>
        <v>0</v>
      </c>
      <c r="D30" s="27">
        <v>46478</v>
      </c>
      <c r="E30" s="8">
        <f ca="1">IF(OR(DATEDIF(TODAY(),D30,"M")=1,DATEDIF(TODAY(),D30,"M")=0),1,0)</f>
        <v>0</v>
      </c>
      <c r="F30" s="22">
        <v>10</v>
      </c>
      <c r="G30" s="22">
        <v>53</v>
      </c>
      <c r="H30" s="21">
        <f>_xlfn.XLOOKUP("000093", Sheet1!$O$4:$O$115, Sheet1!$Q$4:$Q$115,0)</f>
        <v>0</v>
      </c>
      <c r="I30" s="8"/>
      <c r="J30" s="8"/>
      <c r="K30" s="22">
        <f>G30+H30-(I30+J30)</f>
        <v>53</v>
      </c>
      <c r="L30" s="8">
        <v>12</v>
      </c>
      <c r="M30" s="8">
        <v>14</v>
      </c>
      <c r="N30" s="9" t="s">
        <v>313</v>
      </c>
      <c r="O30" s="13" t="s">
        <v>222</v>
      </c>
      <c r="P30" s="13" t="s">
        <v>128</v>
      </c>
      <c r="Q30" s="14">
        <v>10</v>
      </c>
      <c r="R30" s="13"/>
      <c r="S30" s="14"/>
    </row>
    <row r="31" spans="1:19" x14ac:dyDescent="0.25">
      <c r="A31" s="17" t="s">
        <v>177</v>
      </c>
      <c r="B31" s="25" t="s">
        <v>25</v>
      </c>
      <c r="C31" s="24">
        <f>IF(AND($C$2*F31&gt;K31,G31+H31+I31+J31&lt;&gt;0),$C$2*F31-K31,0)</f>
        <v>0</v>
      </c>
      <c r="D31" s="27">
        <v>46539</v>
      </c>
      <c r="E31" s="8">
        <f ca="1">IF(OR(DATEDIF(TODAY(),D31,"M")=1,DATEDIF(TODAY(),D31,"M")=0),1,0)</f>
        <v>0</v>
      </c>
      <c r="F31" s="22">
        <v>10</v>
      </c>
      <c r="G31" s="22">
        <v>18</v>
      </c>
      <c r="H31" s="21">
        <f>_xlfn.XLOOKUP("000094", Sheet1!$O$4:$O$115, Sheet1!$Q$4:$Q$115,0)</f>
        <v>0</v>
      </c>
      <c r="I31" s="8"/>
      <c r="J31" s="8"/>
      <c r="K31" s="22">
        <f>G31+H31-(I31+J31)</f>
        <v>18</v>
      </c>
      <c r="L31" s="8">
        <v>12</v>
      </c>
      <c r="M31" s="8">
        <v>20</v>
      </c>
      <c r="N31" s="9" t="s">
        <v>314</v>
      </c>
      <c r="O31" s="13" t="s">
        <v>223</v>
      </c>
      <c r="P31" s="13" t="s">
        <v>62</v>
      </c>
      <c r="Q31" s="14">
        <v>10</v>
      </c>
      <c r="R31" s="13"/>
      <c r="S31" s="14"/>
    </row>
    <row r="32" spans="1:19" x14ac:dyDescent="0.25">
      <c r="A32" s="17" t="s">
        <v>178</v>
      </c>
      <c r="B32" s="25" t="s">
        <v>26</v>
      </c>
      <c r="C32" s="24">
        <f>IF(AND($C$2*F32&gt;K32,G32+H32+I32+J32&lt;&gt;0),$C$2*F32-K32,0)</f>
        <v>0</v>
      </c>
      <c r="D32" s="27"/>
      <c r="E32" s="8"/>
      <c r="F32" s="22">
        <v>10</v>
      </c>
      <c r="G32" s="22">
        <v>22</v>
      </c>
      <c r="H32" s="21">
        <f>_xlfn.XLOOKUP("000098", Sheet1!$O$4:$O$115, Sheet1!$Q$4:$Q$115,0)</f>
        <v>0</v>
      </c>
      <c r="I32" s="8"/>
      <c r="J32" s="8"/>
      <c r="K32" s="22">
        <f>G32+H32-(I32+J32)</f>
        <v>22</v>
      </c>
      <c r="L32" s="8">
        <v>12</v>
      </c>
      <c r="M32" s="8">
        <v>24</v>
      </c>
      <c r="N32" s="9" t="s">
        <v>315</v>
      </c>
      <c r="O32" s="13" t="s">
        <v>224</v>
      </c>
      <c r="P32" s="13" t="s">
        <v>63</v>
      </c>
      <c r="Q32" s="14">
        <v>10</v>
      </c>
      <c r="R32" s="13"/>
      <c r="S32" s="14"/>
    </row>
    <row r="33" spans="1:19" x14ac:dyDescent="0.25">
      <c r="A33" s="17" t="s">
        <v>179</v>
      </c>
      <c r="B33" s="43" t="s">
        <v>120</v>
      </c>
      <c r="C33" s="24">
        <f>IF(AND($C$2*F33&gt;K33,G33+H33+I33+J33&lt;&gt;0),$C$2*F33-K33,0)</f>
        <v>0</v>
      </c>
      <c r="D33" s="27">
        <v>46319</v>
      </c>
      <c r="E33" s="8">
        <f ca="1">IF(OR(DATEDIF(TODAY(),D33,"M")=1,DATEDIF(TODAY(),D33,"M")=0),1,0)</f>
        <v>0</v>
      </c>
      <c r="F33" s="22">
        <v>4</v>
      </c>
      <c r="G33" s="22">
        <v>9</v>
      </c>
      <c r="H33" s="21">
        <f>_xlfn.XLOOKUP("000100", Sheet1!$O$4:$O$115, Sheet1!$Q$4:$Q$115,0)</f>
        <v>9</v>
      </c>
      <c r="I33" s="8"/>
      <c r="J33" s="8"/>
      <c r="K33" s="22">
        <f>G33+H33-(I33+J33)</f>
        <v>18</v>
      </c>
      <c r="L33" s="8">
        <v>24</v>
      </c>
      <c r="M33" s="8">
        <v>9</v>
      </c>
      <c r="N33" s="9" t="s">
        <v>316</v>
      </c>
      <c r="O33" s="13" t="s">
        <v>228</v>
      </c>
      <c r="P33" s="13" t="s">
        <v>130</v>
      </c>
      <c r="Q33" s="14">
        <v>20</v>
      </c>
      <c r="R33" s="13"/>
      <c r="S33" s="14"/>
    </row>
    <row r="34" spans="1:19" x14ac:dyDescent="0.25">
      <c r="A34" s="17" t="s">
        <v>180</v>
      </c>
      <c r="B34" s="25" t="s">
        <v>27</v>
      </c>
      <c r="C34" s="24">
        <f>IF(AND($C$2*F34&gt;K34,G34+H34+I34+J34&lt;&gt;0),$C$2*F34-K34,0)</f>
        <v>0</v>
      </c>
      <c r="D34" s="27">
        <v>46327</v>
      </c>
      <c r="E34" s="8">
        <f ca="1">IF(OR(DATEDIF(TODAY(),D34,"M")=1,DATEDIF(TODAY(),D34,"M")=0),1,0)</f>
        <v>0</v>
      </c>
      <c r="F34" s="22">
        <v>5</v>
      </c>
      <c r="G34" s="22">
        <v>21</v>
      </c>
      <c r="H34" s="21">
        <f>_xlfn.XLOOKUP("000102", Sheet1!$O$4:$O$115, Sheet1!$Q$4:$Q$115,0)</f>
        <v>0</v>
      </c>
      <c r="I34" s="8"/>
      <c r="J34" s="8">
        <v>2</v>
      </c>
      <c r="K34" s="22">
        <f>G34+H34-(I34+J34)</f>
        <v>19</v>
      </c>
      <c r="L34" s="8">
        <v>24</v>
      </c>
      <c r="M34" s="8">
        <v>15</v>
      </c>
      <c r="N34" s="9" t="s">
        <v>312</v>
      </c>
      <c r="O34" s="13" t="s">
        <v>230</v>
      </c>
      <c r="P34" s="13" t="s">
        <v>131</v>
      </c>
      <c r="Q34" s="14">
        <v>10</v>
      </c>
      <c r="R34" s="13"/>
      <c r="S34" s="14"/>
    </row>
    <row r="35" spans="1:19" x14ac:dyDescent="0.25">
      <c r="A35" s="17" t="s">
        <v>181</v>
      </c>
      <c r="B35" s="25" t="s">
        <v>28</v>
      </c>
      <c r="C35" s="24">
        <f>IF(AND($C$2*F35&gt;K35,G35+H35+I35+J35&lt;&gt;0),$C$2*F35-K35,0)</f>
        <v>0</v>
      </c>
      <c r="D35" s="27"/>
      <c r="E35" s="8"/>
      <c r="F35" s="22">
        <v>4</v>
      </c>
      <c r="G35" s="22">
        <v>6</v>
      </c>
      <c r="H35" s="21">
        <f>_xlfn.XLOOKUP("000106", Sheet1!$O$4:$O$115, Sheet1!$Q$4:$Q$115,0)</f>
        <v>4</v>
      </c>
      <c r="I35" s="8"/>
      <c r="J35" s="8"/>
      <c r="K35" s="22">
        <f>G35+H35-(I35+J35)</f>
        <v>10</v>
      </c>
      <c r="L35" s="8">
        <v>12</v>
      </c>
      <c r="M35" s="8">
        <v>18</v>
      </c>
      <c r="N35" s="9" t="s">
        <v>322</v>
      </c>
      <c r="O35" s="13" t="s">
        <v>231</v>
      </c>
      <c r="P35" s="13" t="s">
        <v>356</v>
      </c>
      <c r="Q35" s="14">
        <v>60</v>
      </c>
      <c r="R35" s="13"/>
      <c r="S35" s="14"/>
    </row>
    <row r="36" spans="1:19" x14ac:dyDescent="0.25">
      <c r="A36" s="17" t="s">
        <v>182</v>
      </c>
      <c r="B36" s="43" t="s">
        <v>121</v>
      </c>
      <c r="C36" s="24">
        <f>IF(AND($C$2*F36&gt;K36,G36+H36+I36+J36&lt;&gt;0),$C$2*F36-K36,0)</f>
        <v>0</v>
      </c>
      <c r="D36" s="27"/>
      <c r="E36" s="8"/>
      <c r="F36" s="22">
        <v>4</v>
      </c>
      <c r="G36" s="22">
        <v>14</v>
      </c>
      <c r="H36" s="21">
        <f>_xlfn.XLOOKUP("000109", Sheet1!$O$4:$O$115, Sheet1!$Q$4:$Q$115,0)</f>
        <v>8</v>
      </c>
      <c r="I36" s="8"/>
      <c r="J36" s="8"/>
      <c r="K36" s="22">
        <f>G36+H36-(I36+J36)</f>
        <v>22</v>
      </c>
      <c r="L36" s="8">
        <v>12</v>
      </c>
      <c r="M36" s="8">
        <v>18</v>
      </c>
      <c r="N36" s="9" t="s">
        <v>319</v>
      </c>
      <c r="O36" s="13" t="s">
        <v>234</v>
      </c>
      <c r="P36" s="13" t="s">
        <v>68</v>
      </c>
      <c r="Q36" s="14">
        <v>68</v>
      </c>
      <c r="R36" s="13"/>
      <c r="S36" s="14"/>
    </row>
    <row r="37" spans="1:19" x14ac:dyDescent="0.25">
      <c r="A37" s="17" t="s">
        <v>183</v>
      </c>
      <c r="B37" s="25" t="s">
        <v>29</v>
      </c>
      <c r="C37" s="24">
        <f>IF(AND($C$2*F37&gt;K37,G37+H37+I37+J37&lt;&gt;0),$C$2*F37-K37,0)</f>
        <v>0</v>
      </c>
      <c r="D37" s="27">
        <v>46450</v>
      </c>
      <c r="E37" s="8">
        <f ca="1">IF(OR(DATEDIF(TODAY(),D37,"M")=1,DATEDIF(TODAY(),D37,"M")=0),1,0)</f>
        <v>0</v>
      </c>
      <c r="F37" s="22">
        <v>10</v>
      </c>
      <c r="G37" s="22">
        <v>8</v>
      </c>
      <c r="H37" s="21">
        <f>_xlfn.XLOOKUP("000114", Sheet1!$O$4:$O$115, Sheet1!$Q$4:$Q$115,0)</f>
        <v>4</v>
      </c>
      <c r="I37" s="8"/>
      <c r="J37" s="8"/>
      <c r="K37" s="22">
        <f>G37+H37-(I37+J37)</f>
        <v>12</v>
      </c>
      <c r="L37" s="8">
        <v>12</v>
      </c>
      <c r="M37" s="8">
        <v>40</v>
      </c>
      <c r="N37" s="9" t="s">
        <v>318</v>
      </c>
      <c r="O37" s="13" t="s">
        <v>235</v>
      </c>
      <c r="P37" s="13" t="s">
        <v>357</v>
      </c>
      <c r="Q37" s="14">
        <v>48</v>
      </c>
    </row>
    <row r="38" spans="1:19" x14ac:dyDescent="0.25">
      <c r="A38" s="17" t="s">
        <v>184</v>
      </c>
      <c r="B38" s="25" t="s">
        <v>30</v>
      </c>
      <c r="C38" s="24">
        <f>IF(AND($C$2*F38&gt;K38,G38+H38+I38+J38&lt;&gt;0),$C$2*F38-K38,0)</f>
        <v>0</v>
      </c>
      <c r="D38" s="27">
        <v>46600</v>
      </c>
      <c r="E38" s="8">
        <f ca="1">IF(OR(DATEDIF(TODAY(),D38,"M")=1,DATEDIF(TODAY(),D38,"M")=0),1,0)</f>
        <v>0</v>
      </c>
      <c r="F38" s="22">
        <v>2</v>
      </c>
      <c r="G38" s="22">
        <v>6</v>
      </c>
      <c r="H38" s="21">
        <f>_xlfn.XLOOKUP("000121", Sheet1!$O$4:$O$115, Sheet1!$Q$4:$Q$115,0)</f>
        <v>0</v>
      </c>
      <c r="I38" s="8"/>
      <c r="J38" s="8"/>
      <c r="K38" s="22">
        <f>G38+H38-(I38+J38)</f>
        <v>6</v>
      </c>
      <c r="L38" s="8">
        <v>48</v>
      </c>
      <c r="M38" s="8">
        <v>12</v>
      </c>
      <c r="N38" s="9" t="s">
        <v>320</v>
      </c>
      <c r="O38" s="13" t="s">
        <v>245</v>
      </c>
      <c r="P38" s="13" t="s">
        <v>79</v>
      </c>
      <c r="Q38" s="14">
        <v>8</v>
      </c>
    </row>
    <row r="39" spans="1:19" x14ac:dyDescent="0.25">
      <c r="A39" s="17" t="s">
        <v>185</v>
      </c>
      <c r="B39" s="43" t="s">
        <v>122</v>
      </c>
      <c r="C39" s="24">
        <f>IF(AND($C$2*F39&gt;K39,G39+H39+I39+J39&lt;&gt;0),$C$2*F39-K39,0)</f>
        <v>0</v>
      </c>
      <c r="D39" s="27">
        <v>46447</v>
      </c>
      <c r="E39" s="8">
        <f ca="1">IF(OR(DATEDIF(TODAY(),D39,"M")=1,DATEDIF(TODAY(),D39,"M")=0),1,0)</f>
        <v>0</v>
      </c>
      <c r="F39" s="22">
        <v>3</v>
      </c>
      <c r="G39" s="22">
        <v>7</v>
      </c>
      <c r="H39" s="21">
        <f>_xlfn.XLOOKUP("000124", Sheet1!$O$4:$O$115, Sheet1!$Q$4:$Q$115,0)</f>
        <v>0</v>
      </c>
      <c r="I39" s="8"/>
      <c r="J39" s="8">
        <v>1</v>
      </c>
      <c r="K39" s="22">
        <f>G39+H39-(I39+J39)</f>
        <v>6</v>
      </c>
      <c r="L39" s="8">
        <v>48</v>
      </c>
      <c r="M39" s="8">
        <v>12</v>
      </c>
      <c r="N39" s="9" t="s">
        <v>320</v>
      </c>
      <c r="O39" s="13" t="s">
        <v>246</v>
      </c>
      <c r="P39" s="13" t="s">
        <v>133</v>
      </c>
      <c r="Q39" s="14">
        <v>27</v>
      </c>
    </row>
    <row r="40" spans="1:19" x14ac:dyDescent="0.25">
      <c r="A40" s="17" t="s">
        <v>186</v>
      </c>
      <c r="B40" s="25" t="s">
        <v>31</v>
      </c>
      <c r="C40" s="24">
        <f>IF(AND($C$2*F40&gt;K40,G40+H40+I40+J40&lt;&gt;0),$C$2*F40-K40,0)</f>
        <v>0</v>
      </c>
      <c r="D40" s="27">
        <v>46151</v>
      </c>
      <c r="E40" s="8">
        <f ca="1">IF(OR(DATEDIF(TODAY(),D40,"M")=1,DATEDIF(TODAY(),D40,"M")=0),1,0)</f>
        <v>1</v>
      </c>
      <c r="F40" s="22">
        <v>3</v>
      </c>
      <c r="G40" s="22">
        <v>7</v>
      </c>
      <c r="H40" s="21">
        <f>_xlfn.XLOOKUP("000135", Sheet1!$O$4:$O$115, Sheet1!$Q$4:$Q$115,0)</f>
        <v>4</v>
      </c>
      <c r="I40" s="8">
        <v>3</v>
      </c>
      <c r="J40" s="8"/>
      <c r="K40" s="22">
        <f>G40+H40-(I40+J40)</f>
        <v>8</v>
      </c>
      <c r="L40" s="8">
        <v>24</v>
      </c>
      <c r="M40" s="8">
        <v>13</v>
      </c>
      <c r="N40" s="9" t="s">
        <v>321</v>
      </c>
      <c r="O40" s="13" t="s">
        <v>251</v>
      </c>
      <c r="P40" s="13" t="s">
        <v>358</v>
      </c>
      <c r="Q40" s="14">
        <v>10</v>
      </c>
    </row>
    <row r="41" spans="1:19" x14ac:dyDescent="0.25">
      <c r="A41" s="17" t="s">
        <v>187</v>
      </c>
      <c r="B41" s="25" t="s">
        <v>32</v>
      </c>
      <c r="C41" s="24">
        <f>IF(AND($C$2*F41&gt;K41,G41+H41+I41+J41&lt;&gt;0),$C$2*F41-K41,0)</f>
        <v>0</v>
      </c>
      <c r="D41" s="27">
        <v>46661</v>
      </c>
      <c r="E41" s="8">
        <f ca="1">IF(OR(DATEDIF(TODAY(),D41,"M")=1,DATEDIF(TODAY(),D41,"M")=0),1,0)</f>
        <v>0</v>
      </c>
      <c r="F41" s="22">
        <v>10</v>
      </c>
      <c r="G41" s="22">
        <v>10</v>
      </c>
      <c r="H41" s="21">
        <f>_xlfn.XLOOKUP("000139", Sheet1!$O$4:$O$115, Sheet1!$Q$4:$Q$115,0)</f>
        <v>0</v>
      </c>
      <c r="I41" s="8"/>
      <c r="J41" s="8"/>
      <c r="K41" s="22">
        <f>G41+H41-(I41+J41)</f>
        <v>10</v>
      </c>
      <c r="L41" s="8">
        <v>12</v>
      </c>
      <c r="M41" s="8">
        <v>18</v>
      </c>
      <c r="N41" s="9" t="s">
        <v>313</v>
      </c>
      <c r="O41" s="13" t="s">
        <v>255</v>
      </c>
      <c r="P41" s="13" t="s">
        <v>359</v>
      </c>
      <c r="Q41" s="14">
        <v>2</v>
      </c>
    </row>
    <row r="42" spans="1:19" x14ac:dyDescent="0.25">
      <c r="A42" s="17" t="s">
        <v>188</v>
      </c>
      <c r="B42" s="43" t="s">
        <v>123</v>
      </c>
      <c r="C42" s="24">
        <f>IF(AND($C$2*F42&gt;K42,G42+H42+I42+J42&lt;&gt;0),$C$2*F42-K42,0)</f>
        <v>0</v>
      </c>
      <c r="D42" s="27">
        <v>46502</v>
      </c>
      <c r="E42" s="8">
        <f ca="1">IF(OR(DATEDIF(TODAY(),D42,"M")=1,DATEDIF(TODAY(),D42,"M")=0),1,0)</f>
        <v>0</v>
      </c>
      <c r="F42" s="22">
        <v>10</v>
      </c>
      <c r="G42" s="22">
        <v>14</v>
      </c>
      <c r="H42" s="21">
        <f>_xlfn.XLOOKUP("000141", Sheet1!$O$4:$O$115, Sheet1!$Q$4:$Q$115,0)</f>
        <v>4</v>
      </c>
      <c r="I42" s="8"/>
      <c r="J42" s="8"/>
      <c r="K42" s="22">
        <f>G42+H42-(I42+J42)</f>
        <v>18</v>
      </c>
      <c r="L42" s="8">
        <v>12</v>
      </c>
      <c r="M42" s="8">
        <v>40</v>
      </c>
      <c r="N42" s="9" t="s">
        <v>318</v>
      </c>
      <c r="O42" s="19">
        <v>0</v>
      </c>
      <c r="P42" t="s">
        <v>145</v>
      </c>
      <c r="Q42" s="20"/>
    </row>
    <row r="43" spans="1:19" x14ac:dyDescent="0.25">
      <c r="A43" s="17" t="s">
        <v>189</v>
      </c>
      <c r="B43" s="25" t="s">
        <v>33</v>
      </c>
      <c r="C43" s="24">
        <f>IF(AND($C$2*F43&gt;K43,G43+H43+I43+J43&lt;&gt;0),$C$2*F43-K43,0)</f>
        <v>0</v>
      </c>
      <c r="D43" s="27">
        <v>46371</v>
      </c>
      <c r="E43" s="8">
        <f ca="1">IF(OR(DATEDIF(TODAY(),D43,"M")=1,DATEDIF(TODAY(),D43,"M")=0),1,0)</f>
        <v>0</v>
      </c>
      <c r="F43" s="22">
        <v>5</v>
      </c>
      <c r="G43" s="22">
        <v>22</v>
      </c>
      <c r="H43" s="21">
        <f>_xlfn.XLOOKUP("000145", Sheet1!$O$4:$O$115, Sheet1!$Q$4:$Q$115,0)</f>
        <v>9</v>
      </c>
      <c r="I43" s="8"/>
      <c r="J43" s="8"/>
      <c r="K43" s="22">
        <f>G43+H43-(I43+J43)</f>
        <v>31</v>
      </c>
      <c r="L43" s="8">
        <v>12</v>
      </c>
      <c r="M43" s="8">
        <v>9</v>
      </c>
      <c r="N43" s="9" t="s">
        <v>333</v>
      </c>
      <c r="O43" s="19">
        <v>0</v>
      </c>
      <c r="P43" t="s">
        <v>145</v>
      </c>
      <c r="Q43" s="20"/>
    </row>
    <row r="44" spans="1:19" x14ac:dyDescent="0.25">
      <c r="A44" s="17" t="s">
        <v>190</v>
      </c>
      <c r="B44" s="43" t="s">
        <v>34</v>
      </c>
      <c r="C44" s="24">
        <f>IF(AND($C$2*F44&gt;K44,G44+H44+I44+J44&lt;&gt;0),$C$2*F44-K44,0)</f>
        <v>0</v>
      </c>
      <c r="D44" s="27">
        <v>46254</v>
      </c>
      <c r="E44" s="8">
        <f ca="1">IF(OR(DATEDIF(TODAY(),D44,"M")=1,DATEDIF(TODAY(),D44,"M")=0),1,0)</f>
        <v>0</v>
      </c>
      <c r="F44" s="22">
        <v>5</v>
      </c>
      <c r="G44" s="22">
        <v>9</v>
      </c>
      <c r="H44" s="21">
        <f>_xlfn.XLOOKUP("000147", Sheet1!$O$4:$O$115, Sheet1!$Q$4:$Q$115,0)</f>
        <v>0</v>
      </c>
      <c r="I44" s="8"/>
      <c r="J44" s="8"/>
      <c r="K44" s="22">
        <f>G44+H44-(I44+J44)</f>
        <v>9</v>
      </c>
      <c r="L44" s="8">
        <v>24</v>
      </c>
      <c r="M44" s="8">
        <v>9</v>
      </c>
      <c r="N44" s="9" t="s">
        <v>323</v>
      </c>
      <c r="O44" s="19">
        <v>0</v>
      </c>
      <c r="P44" t="s">
        <v>145</v>
      </c>
      <c r="Q44" s="20"/>
    </row>
    <row r="45" spans="1:19" x14ac:dyDescent="0.25">
      <c r="A45" s="17" t="s">
        <v>191</v>
      </c>
      <c r="B45" s="25" t="s">
        <v>35</v>
      </c>
      <c r="C45" s="24">
        <f>IF(AND($C$2*F45&gt;K45,G45+H45+I45+J45&lt;&gt;0),$C$2*F45-K45,0)</f>
        <v>0</v>
      </c>
      <c r="D45" s="27">
        <v>46256</v>
      </c>
      <c r="E45" s="8">
        <f ca="1">IF(OR(DATEDIF(TODAY(),D45,"M")=1,DATEDIF(TODAY(),D45,"M")=0),1,0)</f>
        <v>0</v>
      </c>
      <c r="F45" s="22">
        <v>10</v>
      </c>
      <c r="G45" s="22">
        <v>9</v>
      </c>
      <c r="H45" s="21">
        <f>_xlfn.XLOOKUP("000151", Sheet1!$O$4:$O$115, Sheet1!$Q$4:$Q$115,0)</f>
        <v>15</v>
      </c>
      <c r="I45" s="8"/>
      <c r="J45" s="8"/>
      <c r="K45" s="22">
        <f>G45+H45-(I45+J45)</f>
        <v>24</v>
      </c>
      <c r="L45" s="8">
        <v>12</v>
      </c>
      <c r="M45" s="8">
        <v>15</v>
      </c>
      <c r="N45" s="9" t="s">
        <v>315</v>
      </c>
      <c r="O45" s="19">
        <v>0</v>
      </c>
      <c r="P45" t="s">
        <v>145</v>
      </c>
      <c r="Q45" s="20"/>
    </row>
    <row r="46" spans="1:19" ht="15.75" x14ac:dyDescent="0.25">
      <c r="A46" s="17" t="s">
        <v>192</v>
      </c>
      <c r="B46" s="25" t="s">
        <v>36</v>
      </c>
      <c r="C46" s="24">
        <f>IF(AND($C$2*F46&gt;K46,G46+H46+I46+J46&lt;&gt;0),$C$2*F46-K46,0)</f>
        <v>26</v>
      </c>
      <c r="D46" s="27">
        <v>46218</v>
      </c>
      <c r="E46" s="8">
        <f ca="1">IF(OR(DATEDIF(TODAY(),D46,"M")=1,DATEDIF(TODAY(),D46,"M")=0),1,0)</f>
        <v>0</v>
      </c>
      <c r="F46" s="22">
        <v>27</v>
      </c>
      <c r="G46" s="40">
        <v>1</v>
      </c>
      <c r="H46" s="21">
        <f>_xlfn.XLOOKUP("000152", Sheet1!$O$4:$O$115, Sheet1!$Q$4:$Q$115,0)</f>
        <v>0</v>
      </c>
      <c r="I46" s="8"/>
      <c r="J46" s="8"/>
      <c r="K46" s="22">
        <f>G46+H46-(I46+J46)</f>
        <v>1</v>
      </c>
      <c r="L46" s="8">
        <v>6</v>
      </c>
      <c r="M46" s="8">
        <v>42</v>
      </c>
      <c r="N46" s="9" t="s">
        <v>315</v>
      </c>
      <c r="O46" s="19">
        <v>0</v>
      </c>
      <c r="P46" t="s">
        <v>145</v>
      </c>
      <c r="Q46" s="20"/>
    </row>
    <row r="47" spans="1:19" x14ac:dyDescent="0.25">
      <c r="A47" s="17" t="s">
        <v>193</v>
      </c>
      <c r="B47" s="25" t="s">
        <v>37</v>
      </c>
      <c r="C47" s="24">
        <f>IF(AND($C$2*F47&gt;K47,G47+H47+I47+J47&lt;&gt;0),$C$2*F47-K47,0)</f>
        <v>0</v>
      </c>
      <c r="D47" s="27"/>
      <c r="E47" s="8"/>
      <c r="F47" s="22">
        <v>4</v>
      </c>
      <c r="G47" s="22">
        <v>10</v>
      </c>
      <c r="H47" s="21">
        <f>_xlfn.XLOOKUP("000153", Sheet1!$O$4:$O$115, Sheet1!$Q$4:$Q$115,0)</f>
        <v>0</v>
      </c>
      <c r="I47" s="8"/>
      <c r="J47" s="8"/>
      <c r="K47" s="22">
        <f>G47+H47-(I47+J47)</f>
        <v>10</v>
      </c>
      <c r="L47" s="8">
        <v>24</v>
      </c>
      <c r="M47" s="8">
        <v>14</v>
      </c>
      <c r="N47" s="9" t="s">
        <v>320</v>
      </c>
      <c r="O47" s="19">
        <v>0</v>
      </c>
      <c r="P47" t="s">
        <v>145</v>
      </c>
      <c r="Q47" s="20"/>
    </row>
    <row r="48" spans="1:19" x14ac:dyDescent="0.25">
      <c r="A48" s="17" t="s">
        <v>194</v>
      </c>
      <c r="B48" s="25" t="s">
        <v>38</v>
      </c>
      <c r="C48" s="24">
        <f>IF(AND($C$2*F48&gt;K48,G48+H48+I48+J48&lt;&gt;0),$C$2*F48-K48,0)</f>
        <v>0</v>
      </c>
      <c r="D48" s="27">
        <v>46273</v>
      </c>
      <c r="E48" s="8">
        <f ca="1">IF(OR(DATEDIF(TODAY(),D48,"M")=1,DATEDIF(TODAY(),D48,"M")=0),1,0)</f>
        <v>0</v>
      </c>
      <c r="F48" s="22">
        <v>27</v>
      </c>
      <c r="G48" s="22">
        <v>39</v>
      </c>
      <c r="H48" s="21">
        <f>_xlfn.XLOOKUP("000159", Sheet1!$O$4:$O$115, Sheet1!$Q$4:$Q$115,0)</f>
        <v>0</v>
      </c>
      <c r="I48" s="8"/>
      <c r="J48" s="8"/>
      <c r="K48" s="22">
        <f>G48+H48-(I48+J48)</f>
        <v>39</v>
      </c>
      <c r="L48" s="8">
        <v>12</v>
      </c>
      <c r="M48" s="8">
        <v>18</v>
      </c>
      <c r="N48" s="9" t="s">
        <v>314</v>
      </c>
      <c r="O48" s="19">
        <v>0</v>
      </c>
      <c r="P48" t="s">
        <v>145</v>
      </c>
      <c r="Q48" s="20"/>
    </row>
    <row r="49" spans="1:17" x14ac:dyDescent="0.25">
      <c r="A49" s="17" t="s">
        <v>195</v>
      </c>
      <c r="B49" s="25" t="s">
        <v>39</v>
      </c>
      <c r="C49" s="24">
        <f>IF(AND($C$2*F49&gt;K49,G49+H49+I49+J49&lt;&gt;0),$C$2*F49-K49,0)</f>
        <v>0</v>
      </c>
      <c r="D49" s="27"/>
      <c r="E49" s="8"/>
      <c r="F49" s="22">
        <v>5</v>
      </c>
      <c r="G49" s="22">
        <v>1</v>
      </c>
      <c r="H49" s="21">
        <f>_xlfn.XLOOKUP("000162", Sheet1!$O$4:$O$115, Sheet1!$Q$4:$Q$115,0)</f>
        <v>12</v>
      </c>
      <c r="I49" s="8"/>
      <c r="J49" s="8"/>
      <c r="K49" s="22">
        <f>G49+H49-(I49+J49)</f>
        <v>13</v>
      </c>
      <c r="L49" s="8">
        <v>12</v>
      </c>
      <c r="M49" s="8">
        <v>12</v>
      </c>
      <c r="N49" s="9" t="s">
        <v>310</v>
      </c>
      <c r="O49" s="19">
        <v>0</v>
      </c>
      <c r="P49" t="s">
        <v>145</v>
      </c>
      <c r="Q49" s="20"/>
    </row>
    <row r="50" spans="1:17" x14ac:dyDescent="0.25">
      <c r="A50" s="17" t="s">
        <v>196</v>
      </c>
      <c r="B50" s="25" t="s">
        <v>40</v>
      </c>
      <c r="C50" s="24">
        <f>IF(AND($C$2*F50&gt;K50,G50+H50+I50+J50&lt;&gt;0),$C$2*F50-K50,0)</f>
        <v>0</v>
      </c>
      <c r="D50" s="27">
        <v>47307</v>
      </c>
      <c r="E50" s="8">
        <f ca="1">IF(OR(DATEDIF(TODAY(),D50,"M")=1,DATEDIF(TODAY(),D50,"M")=0),1,0)</f>
        <v>0</v>
      </c>
      <c r="F50" s="22">
        <v>10</v>
      </c>
      <c r="G50" s="22">
        <v>68</v>
      </c>
      <c r="H50" s="21">
        <f>_xlfn.XLOOKUP("000167", Sheet1!$O$4:$O$115, Sheet1!$Q$4:$Q$115,0)</f>
        <v>0</v>
      </c>
      <c r="I50" s="8"/>
      <c r="J50" s="8"/>
      <c r="K50" s="22">
        <f>G50+H50-(I50+J50)</f>
        <v>68</v>
      </c>
      <c r="L50" s="8">
        <v>10</v>
      </c>
      <c r="M50" s="8">
        <v>10</v>
      </c>
      <c r="N50" s="9" t="s">
        <v>311</v>
      </c>
      <c r="O50" s="19">
        <v>0</v>
      </c>
      <c r="P50" t="s">
        <v>145</v>
      </c>
      <c r="Q50" s="20"/>
    </row>
    <row r="51" spans="1:17" x14ac:dyDescent="0.25">
      <c r="A51" s="17" t="s">
        <v>197</v>
      </c>
      <c r="B51" s="25" t="s">
        <v>41</v>
      </c>
      <c r="C51" s="24">
        <f>IF(AND($C$2*F51&gt;K51,G51+H51+I51+J51&lt;&gt;0),$C$2*F51-K51,0)</f>
        <v>0</v>
      </c>
      <c r="D51" s="27"/>
      <c r="E51" s="8"/>
      <c r="F51" s="22">
        <v>3</v>
      </c>
      <c r="G51" s="22">
        <v>5</v>
      </c>
      <c r="H51" s="21">
        <f>_xlfn.XLOOKUP("000168", Sheet1!$O$4:$O$115, Sheet1!$Q$4:$Q$115,0)</f>
        <v>8</v>
      </c>
      <c r="I51" s="8"/>
      <c r="J51" s="8"/>
      <c r="K51" s="22">
        <f>G51+H51-(I51+J51)</f>
        <v>13</v>
      </c>
      <c r="L51" s="8">
        <v>12</v>
      </c>
      <c r="M51" s="8">
        <v>12</v>
      </c>
      <c r="N51" s="9" t="s">
        <v>310</v>
      </c>
      <c r="O51" s="19">
        <v>0</v>
      </c>
      <c r="P51" t="s">
        <v>145</v>
      </c>
      <c r="Q51" s="20"/>
    </row>
    <row r="52" spans="1:17" x14ac:dyDescent="0.25">
      <c r="A52" s="17" t="s">
        <v>198</v>
      </c>
      <c r="B52" s="25" t="s">
        <v>42</v>
      </c>
      <c r="C52" s="24">
        <f>IF(AND($C$2*F52&gt;K52,G52+H52+I52+J52&lt;&gt;0),$C$2*F52-K52,0)</f>
        <v>0</v>
      </c>
      <c r="D52" s="27"/>
      <c r="E52" s="8"/>
      <c r="F52" s="22">
        <v>1</v>
      </c>
      <c r="G52" s="22">
        <v>5</v>
      </c>
      <c r="H52" s="21">
        <f>_xlfn.XLOOKUP("000172", Sheet1!$O$4:$O$115, Sheet1!$Q$4:$Q$115,0)</f>
        <v>0</v>
      </c>
      <c r="I52" s="8"/>
      <c r="J52" s="8"/>
      <c r="K52" s="22">
        <f>G52+H52-(I52+J52)</f>
        <v>5</v>
      </c>
      <c r="L52" s="8">
        <v>48</v>
      </c>
      <c r="M52" s="8">
        <v>10</v>
      </c>
      <c r="N52" s="9" t="s">
        <v>322</v>
      </c>
      <c r="O52" s="19">
        <v>0</v>
      </c>
      <c r="P52" t="s">
        <v>145</v>
      </c>
      <c r="Q52" s="20"/>
    </row>
    <row r="53" spans="1:17" x14ac:dyDescent="0.25">
      <c r="A53" s="17" t="s">
        <v>199</v>
      </c>
      <c r="B53" s="43" t="s">
        <v>43</v>
      </c>
      <c r="C53" s="24">
        <f>IF(AND($C$2*F53&gt;K53,G53+H53+I53+J53&lt;&gt;0),$C$2*F53-K53,0)</f>
        <v>0</v>
      </c>
      <c r="D53" s="27">
        <v>46235</v>
      </c>
      <c r="E53" s="8">
        <f ca="1">IF(OR(DATEDIF(TODAY(),D53,"M")=1,DATEDIF(TODAY(),D53,"M")=0),1,0)</f>
        <v>0</v>
      </c>
      <c r="F53" s="22">
        <v>2</v>
      </c>
      <c r="G53" s="22">
        <v>2</v>
      </c>
      <c r="H53" s="21">
        <f>_xlfn.XLOOKUP("000178", Sheet1!$O$4:$O$115, Sheet1!$Q$4:$Q$115,0)</f>
        <v>1</v>
      </c>
      <c r="I53" s="8"/>
      <c r="J53" s="8"/>
      <c r="K53" s="22">
        <f>G53+H53-(I53+J53)</f>
        <v>3</v>
      </c>
      <c r="L53" s="8">
        <v>4</v>
      </c>
      <c r="M53" s="8"/>
      <c r="N53" s="9" t="s">
        <v>92</v>
      </c>
      <c r="O53" s="19">
        <v>0</v>
      </c>
      <c r="P53" t="s">
        <v>145</v>
      </c>
      <c r="Q53" s="20"/>
    </row>
    <row r="54" spans="1:17" x14ac:dyDescent="0.25">
      <c r="A54" s="17" t="s">
        <v>200</v>
      </c>
      <c r="B54" s="43" t="s">
        <v>124</v>
      </c>
      <c r="C54" s="24">
        <f>IF(AND($C$2*F54&gt;K54,G54+H54+I54+J54&lt;&gt;0),$C$2*F54-K54,0)</f>
        <v>1</v>
      </c>
      <c r="D54" s="27">
        <v>46235</v>
      </c>
      <c r="E54" s="8">
        <f ca="1">IF(OR(DATEDIF(TODAY(),D54,"M")=1,DATEDIF(TODAY(),D54,"M")=0),1,0)</f>
        <v>0</v>
      </c>
      <c r="F54" s="22">
        <v>4</v>
      </c>
      <c r="G54" s="22">
        <v>3</v>
      </c>
      <c r="H54" s="21">
        <f>_xlfn.XLOOKUP("000182", Sheet1!$O$4:$O$115, Sheet1!$Q$4:$Q$115,0)</f>
        <v>0</v>
      </c>
      <c r="I54" s="8"/>
      <c r="J54" s="8"/>
      <c r="K54" s="22">
        <f>G54+H54-(I54+J54)</f>
        <v>3</v>
      </c>
      <c r="L54" s="8">
        <v>6</v>
      </c>
      <c r="M54" s="8">
        <v>20</v>
      </c>
      <c r="N54" s="9" t="s">
        <v>299</v>
      </c>
      <c r="O54" s="19">
        <v>0</v>
      </c>
      <c r="P54" t="s">
        <v>145</v>
      </c>
      <c r="Q54" s="20"/>
    </row>
    <row r="55" spans="1:17" x14ac:dyDescent="0.25">
      <c r="A55" s="17" t="s">
        <v>201</v>
      </c>
      <c r="B55" s="43" t="s">
        <v>44</v>
      </c>
      <c r="C55" s="24">
        <f>IF(AND($C$2*F55&gt;K55,G55+H55+I55+J55&lt;&gt;0),$C$2*F55-K55,0)</f>
        <v>0</v>
      </c>
      <c r="D55" s="27">
        <v>46784</v>
      </c>
      <c r="E55" s="8">
        <f ca="1">IF(OR(DATEDIF(TODAY(),D55,"M")=1,DATEDIF(TODAY(),D55,"M")=0),1,0)</f>
        <v>0</v>
      </c>
      <c r="F55" s="22">
        <v>4</v>
      </c>
      <c r="G55" s="22">
        <v>4</v>
      </c>
      <c r="H55" s="21">
        <f>_xlfn.XLOOKUP("000184", Sheet1!$O$4:$O$115, Sheet1!$Q$4:$Q$115,0)</f>
        <v>4</v>
      </c>
      <c r="I55" s="8"/>
      <c r="J55" s="8"/>
      <c r="K55" s="22">
        <f>G55+H55-(I55+J55)</f>
        <v>8</v>
      </c>
      <c r="L55" s="8">
        <v>6</v>
      </c>
      <c r="M55" s="8">
        <v>16</v>
      </c>
      <c r="N55" s="9" t="s">
        <v>299</v>
      </c>
      <c r="O55" s="19">
        <v>0</v>
      </c>
      <c r="P55" t="s">
        <v>145</v>
      </c>
      <c r="Q55" s="20"/>
    </row>
    <row r="56" spans="1:17" x14ac:dyDescent="0.25">
      <c r="A56" s="17" t="s">
        <v>202</v>
      </c>
      <c r="B56" s="25" t="s">
        <v>45</v>
      </c>
      <c r="C56" s="24">
        <f>IF(AND($C$2*F56&gt;K56,G56+H56+I56+J56&lt;&gt;0),$C$2*F56-K56,0)</f>
        <v>0</v>
      </c>
      <c r="D56" s="27">
        <v>46594</v>
      </c>
      <c r="E56" s="8">
        <f ca="1">IF(OR(DATEDIF(TODAY(),D56,"M")=1,DATEDIF(TODAY(),D56,"M")=0),1,0)</f>
        <v>0</v>
      </c>
      <c r="F56" s="22">
        <v>2</v>
      </c>
      <c r="G56" s="22">
        <v>12</v>
      </c>
      <c r="H56" s="21">
        <f>_xlfn.XLOOKUP("000187", Sheet1!$O$4:$O$115, Sheet1!$Q$4:$Q$115,0)</f>
        <v>0</v>
      </c>
      <c r="I56" s="8"/>
      <c r="J56" s="8">
        <v>1</v>
      </c>
      <c r="K56" s="22">
        <f>G56+H56-(I56+J56)</f>
        <v>11</v>
      </c>
      <c r="L56" s="8">
        <v>24</v>
      </c>
      <c r="M56" s="8">
        <v>13</v>
      </c>
      <c r="N56" s="9" t="s">
        <v>317</v>
      </c>
      <c r="O56" s="19">
        <v>0</v>
      </c>
      <c r="P56" t="s">
        <v>145</v>
      </c>
      <c r="Q56" s="20"/>
    </row>
    <row r="57" spans="1:17" x14ac:dyDescent="0.25">
      <c r="A57" s="17" t="s">
        <v>203</v>
      </c>
      <c r="B57" s="25" t="s">
        <v>46</v>
      </c>
      <c r="C57" s="24">
        <f>IF(AND($C$2*F57&gt;K57,G57+H57+I57+J57&lt;&gt;0),$C$2*F57-K57,0)</f>
        <v>0</v>
      </c>
      <c r="D57" s="27">
        <v>46479</v>
      </c>
      <c r="E57" s="8">
        <f ca="1">IF(OR(DATEDIF(TODAY(),D57,"M")=1,DATEDIF(TODAY(),D57,"M")=0),1,0)</f>
        <v>0</v>
      </c>
      <c r="F57" s="22">
        <v>3</v>
      </c>
      <c r="G57" s="22">
        <v>11</v>
      </c>
      <c r="H57" s="21">
        <f>_xlfn.XLOOKUP("000189", Sheet1!$O$4:$O$115, Sheet1!$Q$4:$Q$115,0)</f>
        <v>0</v>
      </c>
      <c r="I57" s="8"/>
      <c r="J57" s="8"/>
      <c r="K57" s="22">
        <f>G57+H57-(I57+J57)</f>
        <v>11</v>
      </c>
      <c r="L57" s="8">
        <v>12</v>
      </c>
      <c r="M57" s="8">
        <v>9</v>
      </c>
      <c r="N57" s="9" t="s">
        <v>317</v>
      </c>
      <c r="O57" s="19">
        <v>0</v>
      </c>
      <c r="P57" t="s">
        <v>145</v>
      </c>
      <c r="Q57" s="20"/>
    </row>
    <row r="58" spans="1:17" x14ac:dyDescent="0.25">
      <c r="A58" s="17" t="s">
        <v>204</v>
      </c>
      <c r="B58" s="25" t="s">
        <v>47</v>
      </c>
      <c r="C58" s="24">
        <f>IF(AND($C$2*F58&gt;K58,G58+H58+I58+J58&lt;&gt;0),$C$2*F58-K58,0)</f>
        <v>0</v>
      </c>
      <c r="D58" s="27">
        <v>46443</v>
      </c>
      <c r="E58" s="8">
        <f ca="1">IF(OR(DATEDIF(TODAY(),D58,"M")=1,DATEDIF(TODAY(),D58,"M")=0),1,0)</f>
        <v>0</v>
      </c>
      <c r="F58" s="22">
        <v>9</v>
      </c>
      <c r="G58" s="22">
        <v>26</v>
      </c>
      <c r="H58" s="21">
        <f>_xlfn.XLOOKUP("000206", Sheet1!$O$4:$O$115, Sheet1!$Q$4:$Q$115,0)</f>
        <v>0</v>
      </c>
      <c r="I58" s="8"/>
      <c r="J58" s="8">
        <v>2</v>
      </c>
      <c r="K58" s="22">
        <f>G58+H58-(I58+J58)</f>
        <v>24</v>
      </c>
      <c r="L58" s="8">
        <v>8</v>
      </c>
      <c r="M58" s="8">
        <v>9</v>
      </c>
      <c r="N58" s="9" t="s">
        <v>308</v>
      </c>
      <c r="O58" s="19">
        <v>0</v>
      </c>
      <c r="P58" t="s">
        <v>145</v>
      </c>
      <c r="Q58" s="20"/>
    </row>
    <row r="59" spans="1:17" x14ac:dyDescent="0.25">
      <c r="A59" s="17" t="s">
        <v>205</v>
      </c>
      <c r="B59" s="25" t="s">
        <v>48</v>
      </c>
      <c r="C59" s="24">
        <f>IF(AND($C$2*F59&gt;K59,G59+H59+I59+J59&lt;&gt;0),$C$2*F59-K59,0)</f>
        <v>0</v>
      </c>
      <c r="D59" s="27">
        <v>46595</v>
      </c>
      <c r="E59" s="8">
        <f ca="1">IF(OR(DATEDIF(TODAY(),D59,"M")=1,DATEDIF(TODAY(),D59,"M")=0),1,0)</f>
        <v>0</v>
      </c>
      <c r="F59" s="22">
        <v>3</v>
      </c>
      <c r="G59" s="22">
        <v>17</v>
      </c>
      <c r="H59" s="21">
        <f>_xlfn.XLOOKUP("000208", Sheet1!$O$4:$O$115, Sheet1!$Q$4:$Q$115,0)</f>
        <v>0</v>
      </c>
      <c r="I59" s="8"/>
      <c r="J59" s="8"/>
      <c r="K59" s="22">
        <f>G59+H59-(I59+J59)</f>
        <v>17</v>
      </c>
      <c r="L59" s="8">
        <v>22</v>
      </c>
      <c r="M59" s="8">
        <v>9</v>
      </c>
      <c r="N59" s="9" t="s">
        <v>321</v>
      </c>
      <c r="O59" s="19">
        <v>0</v>
      </c>
      <c r="P59" t="s">
        <v>145</v>
      </c>
      <c r="Q59" s="20"/>
    </row>
    <row r="60" spans="1:17" x14ac:dyDescent="0.25">
      <c r="A60" s="17" t="s">
        <v>206</v>
      </c>
      <c r="B60" s="25" t="s">
        <v>49</v>
      </c>
      <c r="C60" s="24">
        <f>IF(AND($C$2*F60&gt;K60,G60+H60+I60+J60&lt;&gt;0),$C$2*F60-K60,0)</f>
        <v>0</v>
      </c>
      <c r="D60" s="27">
        <v>46685</v>
      </c>
      <c r="E60" s="8">
        <f ca="1">IF(OR(DATEDIF(TODAY(),D60,"M")=1,DATEDIF(TODAY(),D60,"M")=0),1,0)</f>
        <v>0</v>
      </c>
      <c r="F60" s="22">
        <v>3</v>
      </c>
      <c r="G60" s="22">
        <v>14</v>
      </c>
      <c r="H60" s="21">
        <f>_xlfn.XLOOKUP("000209", Sheet1!$O$4:$O$115, Sheet1!$Q$4:$Q$115,0)</f>
        <v>0</v>
      </c>
      <c r="I60" s="8"/>
      <c r="J60" s="8"/>
      <c r="K60" s="22">
        <f>G60+H60-(I60+J60)</f>
        <v>14</v>
      </c>
      <c r="L60" s="8">
        <v>22</v>
      </c>
      <c r="M60" s="8">
        <v>9</v>
      </c>
      <c r="N60" s="9" t="s">
        <v>321</v>
      </c>
      <c r="O60" s="19">
        <v>0</v>
      </c>
      <c r="P60" t="s">
        <v>145</v>
      </c>
      <c r="Q60" s="20"/>
    </row>
    <row r="61" spans="1:17" x14ac:dyDescent="0.25">
      <c r="A61" s="17" t="s">
        <v>207</v>
      </c>
      <c r="B61" s="25" t="s">
        <v>50</v>
      </c>
      <c r="C61" s="24">
        <f>IF(AND($C$2*F61&gt;K61,G61+H61+I61+J61&lt;&gt;0),$C$2*F61-K61,0)</f>
        <v>0</v>
      </c>
      <c r="D61" s="27">
        <v>46481</v>
      </c>
      <c r="E61" s="8">
        <f ca="1">IF(OR(DATEDIF(TODAY(),D61,"M")=1,DATEDIF(TODAY(),D61,"M")=0),1,0)</f>
        <v>0</v>
      </c>
      <c r="F61" s="22">
        <v>9</v>
      </c>
      <c r="G61" s="22">
        <v>23</v>
      </c>
      <c r="H61" s="21">
        <f>_xlfn.XLOOKUP("000211", Sheet1!$O$4:$O$115, Sheet1!$Q$4:$Q$115,0)</f>
        <v>0</v>
      </c>
      <c r="I61" s="8"/>
      <c r="J61" s="8"/>
      <c r="K61" s="22">
        <f>G61+H61-(I61+J61)</f>
        <v>23</v>
      </c>
      <c r="L61" s="8">
        <v>4</v>
      </c>
      <c r="M61" s="8">
        <v>9</v>
      </c>
      <c r="N61" s="9" t="s">
        <v>311</v>
      </c>
      <c r="O61" s="19">
        <v>0</v>
      </c>
      <c r="P61" t="s">
        <v>145</v>
      </c>
      <c r="Q61" s="20"/>
    </row>
    <row r="62" spans="1:17" x14ac:dyDescent="0.25">
      <c r="A62" s="17" t="s">
        <v>208</v>
      </c>
      <c r="B62" s="25" t="s">
        <v>51</v>
      </c>
      <c r="C62" s="24">
        <f>IF(AND($C$2*F62&gt;K62,G62+H62+I62+J62&lt;&gt;0),$C$2*F62-K62,0)</f>
        <v>0</v>
      </c>
      <c r="D62" s="27"/>
      <c r="E62" s="8"/>
      <c r="F62" s="22">
        <v>9</v>
      </c>
      <c r="G62" s="22"/>
      <c r="H62" s="21">
        <f>_xlfn.XLOOKUP("000212", Sheet1!$O$4:$O$115, Sheet1!$Q$4:$Q$115,0)</f>
        <v>36</v>
      </c>
      <c r="I62" s="8"/>
      <c r="J62" s="8"/>
      <c r="K62" s="22">
        <f>G62+H62-(I62+J62)</f>
        <v>36</v>
      </c>
      <c r="L62" s="8">
        <v>4</v>
      </c>
      <c r="M62" s="8">
        <v>10</v>
      </c>
      <c r="N62" s="9" t="s">
        <v>311</v>
      </c>
      <c r="O62" s="19">
        <v>0</v>
      </c>
      <c r="P62" t="s">
        <v>145</v>
      </c>
      <c r="Q62" s="20"/>
    </row>
    <row r="63" spans="1:17" x14ac:dyDescent="0.25">
      <c r="A63" s="17" t="s">
        <v>209</v>
      </c>
      <c r="B63" s="25" t="s">
        <v>52</v>
      </c>
      <c r="C63" s="24">
        <f>IF(AND($C$2*F63&gt;K63,G63+H63+I63+J63&lt;&gt;0),$C$2*F63-K63,0)</f>
        <v>14</v>
      </c>
      <c r="D63" s="27">
        <v>46235</v>
      </c>
      <c r="E63" s="8">
        <f ca="1">IF(OR(DATEDIF(TODAY(),D63,"M")=1,DATEDIF(TODAY(),D63,"M")=0),1,0)</f>
        <v>0</v>
      </c>
      <c r="F63" s="22">
        <v>27</v>
      </c>
      <c r="G63" s="22">
        <v>13</v>
      </c>
      <c r="H63" s="21">
        <f>_xlfn.XLOOKUP("000213", Sheet1!$O$4:$O$115, Sheet1!$Q$4:$Q$115,0)</f>
        <v>0</v>
      </c>
      <c r="I63" s="8"/>
      <c r="J63" s="8"/>
      <c r="K63" s="22">
        <f>G63+H63-(I63+J63)</f>
        <v>13</v>
      </c>
      <c r="L63" s="8">
        <v>9</v>
      </c>
      <c r="M63" s="8">
        <v>6</v>
      </c>
      <c r="N63" s="9" t="s">
        <v>297</v>
      </c>
      <c r="O63" s="19">
        <v>0</v>
      </c>
      <c r="P63" t="s">
        <v>145</v>
      </c>
      <c r="Q63" s="20"/>
    </row>
    <row r="64" spans="1:17" x14ac:dyDescent="0.25">
      <c r="A64" s="17" t="s">
        <v>210</v>
      </c>
      <c r="B64" s="25" t="s">
        <v>53</v>
      </c>
      <c r="C64" s="24">
        <f>IF(AND($C$2*F64&gt;K64,G64+H64+I64+J64&lt;&gt;0),$C$2*F64-K64,0)</f>
        <v>0</v>
      </c>
      <c r="D64" s="27">
        <v>47091</v>
      </c>
      <c r="E64" s="8">
        <f ca="1">IF(OR(DATEDIF(TODAY(),D64,"M")=1,DATEDIF(TODAY(),D64,"M")=0),1,0)</f>
        <v>0</v>
      </c>
      <c r="F64" s="22">
        <v>5</v>
      </c>
      <c r="G64" s="22">
        <v>9</v>
      </c>
      <c r="H64" s="21">
        <f>_xlfn.XLOOKUP("000219", Sheet1!$O$4:$O$115, Sheet1!$Q$4:$Q$115,0)</f>
        <v>14</v>
      </c>
      <c r="I64" s="8"/>
      <c r="J64" s="8"/>
      <c r="K64" s="22">
        <f>G64+H64-(I64+J64)</f>
        <v>23</v>
      </c>
      <c r="L64" s="8">
        <v>20</v>
      </c>
      <c r="M64" s="8">
        <v>14</v>
      </c>
      <c r="N64" s="9" t="s">
        <v>310</v>
      </c>
      <c r="O64" s="19">
        <v>0</v>
      </c>
      <c r="P64" t="s">
        <v>145</v>
      </c>
      <c r="Q64" s="20"/>
    </row>
    <row r="65" spans="1:17" x14ac:dyDescent="0.25">
      <c r="A65" s="17" t="s">
        <v>211</v>
      </c>
      <c r="B65" s="25" t="s">
        <v>54</v>
      </c>
      <c r="C65" s="24">
        <f>IF(AND($C$2*F65&gt;K65,G65+H65+I65+J65&lt;&gt;0),$C$2*F65-K65,0)</f>
        <v>32</v>
      </c>
      <c r="D65" s="27">
        <v>46495</v>
      </c>
      <c r="E65" s="8">
        <f ca="1">IF(OR(DATEDIF(TODAY(),D65,"M")=1,DATEDIF(TODAY(),D65,"M")=0),1,0)</f>
        <v>0</v>
      </c>
      <c r="F65" s="22">
        <v>5</v>
      </c>
      <c r="G65" s="22">
        <v>16</v>
      </c>
      <c r="H65" s="21">
        <f>_xlfn.XLOOKUP("000222", Sheet1!$O$4:$O$115, Sheet1!$Q$4:$Q$115,0)</f>
        <v>0</v>
      </c>
      <c r="I65" s="8"/>
      <c r="J65" s="8">
        <v>43</v>
      </c>
      <c r="K65" s="22">
        <f>G65+H65-(I65+J65)</f>
        <v>-27</v>
      </c>
      <c r="L65" s="8">
        <v>48</v>
      </c>
      <c r="M65" s="8">
        <v>10</v>
      </c>
      <c r="N65" s="9" t="s">
        <v>309</v>
      </c>
      <c r="O65" s="19">
        <v>0</v>
      </c>
      <c r="P65" t="s">
        <v>145</v>
      </c>
      <c r="Q65" s="20"/>
    </row>
    <row r="66" spans="1:17" x14ac:dyDescent="0.25">
      <c r="A66" s="17" t="s">
        <v>212</v>
      </c>
      <c r="B66" s="25" t="s">
        <v>55</v>
      </c>
      <c r="C66" s="24">
        <f>IF(AND($C$2*F66&gt;K66,G66+H66+I66+J66&lt;&gt;0),$C$2*F66-K66,0)</f>
        <v>3</v>
      </c>
      <c r="D66" s="27">
        <v>46204</v>
      </c>
      <c r="E66" s="8">
        <f ca="1">IF(OR(DATEDIF(TODAY(),D66,"M")=1,DATEDIF(TODAY(),D66,"M")=0),1,0)</f>
        <v>1</v>
      </c>
      <c r="F66" s="22">
        <v>27</v>
      </c>
      <c r="G66" s="22">
        <v>15</v>
      </c>
      <c r="H66" s="21">
        <f>_xlfn.XLOOKUP("000223", Sheet1!$O$4:$O$115, Sheet1!$Q$4:$Q$115,0)</f>
        <v>9</v>
      </c>
      <c r="I66" s="8"/>
      <c r="J66" s="8"/>
      <c r="K66" s="22">
        <f>G66+H66-(I66+J66)</f>
        <v>24</v>
      </c>
      <c r="L66" s="8">
        <v>10</v>
      </c>
      <c r="M66" s="8">
        <v>9</v>
      </c>
      <c r="N66" s="9" t="s">
        <v>297</v>
      </c>
      <c r="O66" s="19">
        <v>0</v>
      </c>
      <c r="P66" t="s">
        <v>145</v>
      </c>
      <c r="Q66" s="20"/>
    </row>
    <row r="67" spans="1:17" x14ac:dyDescent="0.25">
      <c r="A67" s="17" t="s">
        <v>213</v>
      </c>
      <c r="B67" s="25" t="s">
        <v>56</v>
      </c>
      <c r="C67" s="24">
        <f>IF(AND($C$2*F67&gt;K67,G67+H67+I67+J67&lt;&gt;0),$C$2*F67-K67,0)</f>
        <v>0</v>
      </c>
      <c r="D67" s="27">
        <v>46935</v>
      </c>
      <c r="E67" s="8">
        <f ca="1">IF(OR(DATEDIF(TODAY(),D67,"M")=1,DATEDIF(TODAY(),D67,"M")=0),1,0)</f>
        <v>0</v>
      </c>
      <c r="F67" s="22">
        <v>7</v>
      </c>
      <c r="G67" s="22">
        <v>8</v>
      </c>
      <c r="H67" s="21">
        <f>_xlfn.XLOOKUP("000226", Sheet1!$O$4:$O$115, Sheet1!$Q$4:$Q$115,0)</f>
        <v>0</v>
      </c>
      <c r="I67" s="8"/>
      <c r="J67" s="8"/>
      <c r="K67" s="22">
        <f>G67+H67-(I67+J67)</f>
        <v>8</v>
      </c>
      <c r="L67" s="8">
        <v>24</v>
      </c>
      <c r="M67" s="8">
        <v>7</v>
      </c>
      <c r="N67" s="9" t="s">
        <v>309</v>
      </c>
      <c r="O67" s="19">
        <v>0</v>
      </c>
      <c r="P67" t="s">
        <v>145</v>
      </c>
      <c r="Q67" s="20"/>
    </row>
    <row r="68" spans="1:17" x14ac:dyDescent="0.25">
      <c r="A68" s="17" t="s">
        <v>214</v>
      </c>
      <c r="B68" s="43" t="s">
        <v>125</v>
      </c>
      <c r="C68" s="24">
        <f>IF(AND($C$2*F68&gt;K68,G68+H68+I68+J68&lt;&gt;0),$C$2*F68-K68,0)</f>
        <v>0</v>
      </c>
      <c r="D68" s="27">
        <v>46628</v>
      </c>
      <c r="E68" s="8">
        <f ca="1">IF(OR(DATEDIF(TODAY(),D68,"M")=1,DATEDIF(TODAY(),D68,"M")=0),1,0)</f>
        <v>0</v>
      </c>
      <c r="F68" s="22">
        <v>26</v>
      </c>
      <c r="G68" s="22">
        <v>45</v>
      </c>
      <c r="H68" s="21">
        <f>_xlfn.XLOOKUP("000228", Sheet1!$O$4:$O$115, Sheet1!$Q$4:$Q$115,0)</f>
        <v>0</v>
      </c>
      <c r="I68" s="8"/>
      <c r="J68" s="8"/>
      <c r="K68" s="22">
        <f>G68+H68-(I68+J68)</f>
        <v>45</v>
      </c>
      <c r="L68" s="8">
        <v>12</v>
      </c>
      <c r="M68" s="8">
        <v>13</v>
      </c>
      <c r="N68" s="9" t="s">
        <v>317</v>
      </c>
      <c r="O68" s="19">
        <v>0</v>
      </c>
      <c r="P68" t="s">
        <v>145</v>
      </c>
      <c r="Q68" s="20"/>
    </row>
    <row r="69" spans="1:17" x14ac:dyDescent="0.25">
      <c r="A69" s="17" t="s">
        <v>215</v>
      </c>
      <c r="B69" s="43" t="s">
        <v>126</v>
      </c>
      <c r="C69" s="24">
        <f>IF(AND($C$2*F69&gt;K69,G69+H69+I69+J69&lt;&gt;0),$C$2*F69-K69,0)</f>
        <v>0</v>
      </c>
      <c r="D69" s="27">
        <v>46170</v>
      </c>
      <c r="E69" s="8">
        <f ca="1">IF(OR(DATEDIF(TODAY(),D69,"M")=1,DATEDIF(TODAY(),D69,"M")=0),1,0)</f>
        <v>1</v>
      </c>
      <c r="F69" s="22">
        <v>9</v>
      </c>
      <c r="G69" s="22">
        <v>16</v>
      </c>
      <c r="H69" s="21">
        <f>_xlfn.XLOOKUP("000231", Sheet1!$O$4:$O$115, Sheet1!$Q$4:$Q$115,0)</f>
        <v>0</v>
      </c>
      <c r="I69" s="8">
        <v>5</v>
      </c>
      <c r="J69" s="8"/>
      <c r="K69" s="22">
        <f>G69+H69-(I69+J69)</f>
        <v>11</v>
      </c>
      <c r="L69" s="8">
        <v>16</v>
      </c>
      <c r="M69" s="8">
        <v>9</v>
      </c>
      <c r="N69" s="9" t="s">
        <v>300</v>
      </c>
      <c r="O69" s="19">
        <v>0</v>
      </c>
      <c r="P69" t="s">
        <v>145</v>
      </c>
      <c r="Q69" s="20"/>
    </row>
    <row r="70" spans="1:17" x14ac:dyDescent="0.25">
      <c r="A70" s="17" t="s">
        <v>216</v>
      </c>
      <c r="B70" s="25" t="s">
        <v>57</v>
      </c>
      <c r="C70" s="24">
        <f>IF(AND($C$2*F70&gt;K70,G70+H70+I70+J70&lt;&gt;0),$C$2*F70-K70,0)</f>
        <v>0</v>
      </c>
      <c r="D70" s="27">
        <v>46962</v>
      </c>
      <c r="E70" s="8">
        <f ca="1">IF(OR(DATEDIF(TODAY(),D70,"M")=1,DATEDIF(TODAY(),D70,"M")=0),1,0)</f>
        <v>0</v>
      </c>
      <c r="F70" s="22">
        <v>5</v>
      </c>
      <c r="G70" s="22">
        <v>18</v>
      </c>
      <c r="H70" s="21">
        <f>_xlfn.XLOOKUP("000234", Sheet1!$O$4:$O$115, Sheet1!$Q$4:$Q$115,0)</f>
        <v>12</v>
      </c>
      <c r="I70" s="8"/>
      <c r="J70" s="8"/>
      <c r="K70" s="22">
        <f>G70+H70-(I70+J70)</f>
        <v>30</v>
      </c>
      <c r="L70" s="8">
        <v>24</v>
      </c>
      <c r="M70" s="8">
        <v>12</v>
      </c>
      <c r="N70" s="9" t="s">
        <v>308</v>
      </c>
      <c r="O70" s="19">
        <v>0</v>
      </c>
      <c r="P70" t="s">
        <v>145</v>
      </c>
      <c r="Q70" s="20"/>
    </row>
    <row r="71" spans="1:17" x14ac:dyDescent="0.25">
      <c r="A71" s="17" t="s">
        <v>217</v>
      </c>
      <c r="B71" s="43" t="s">
        <v>127</v>
      </c>
      <c r="C71" s="24">
        <f>IF(AND($C$2*F71&gt;K71,G71+H71+I71+J71&lt;&gt;0),$C$2*F71-K71,0)</f>
        <v>2</v>
      </c>
      <c r="D71" s="27"/>
      <c r="E71" s="8"/>
      <c r="F71" s="22">
        <v>14</v>
      </c>
      <c r="G71" s="22">
        <v>2</v>
      </c>
      <c r="H71" s="21">
        <f>_xlfn.XLOOKUP("000267", Sheet1!$O$4:$O$115, Sheet1!$Q$4:$Q$115,0)</f>
        <v>10</v>
      </c>
      <c r="I71" s="8"/>
      <c r="J71" s="8"/>
      <c r="K71" s="22">
        <f>G71+H71-(I71+J71)</f>
        <v>12</v>
      </c>
      <c r="L71" s="8"/>
      <c r="M71" s="8"/>
      <c r="N71" s="9" t="s">
        <v>92</v>
      </c>
      <c r="O71" s="19">
        <v>0</v>
      </c>
      <c r="P71" t="s">
        <v>145</v>
      </c>
      <c r="Q71" s="20"/>
    </row>
    <row r="72" spans="1:17" x14ac:dyDescent="0.25">
      <c r="A72" s="17" t="s">
        <v>218</v>
      </c>
      <c r="B72" s="25" t="s">
        <v>58</v>
      </c>
      <c r="C72" s="24">
        <f>IF(AND($C$2*F72&gt;K72,G72+H72+I72+J72&lt;&gt;0),$C$2*F72-K72,0)</f>
        <v>0</v>
      </c>
      <c r="D72" s="27">
        <v>46357</v>
      </c>
      <c r="E72" s="8">
        <f ca="1">IF(OR(DATEDIF(TODAY(),D72,"M")=1,DATEDIF(TODAY(),D72,"M")=0),1,0)</f>
        <v>0</v>
      </c>
      <c r="F72" s="22">
        <v>1</v>
      </c>
      <c r="G72" s="22">
        <v>8</v>
      </c>
      <c r="H72" s="21">
        <f>_xlfn.XLOOKUP("000286", Sheet1!$O$4:$O$115, Sheet1!$Q$4:$Q$115,0)</f>
        <v>0</v>
      </c>
      <c r="I72" s="8"/>
      <c r="J72" s="8"/>
      <c r="K72" s="22">
        <f>G72+H72-(I72+J72)</f>
        <v>8</v>
      </c>
      <c r="L72" s="8">
        <v>12</v>
      </c>
      <c r="M72" s="8">
        <v>12</v>
      </c>
      <c r="N72" s="9" t="s">
        <v>331</v>
      </c>
      <c r="O72" s="19">
        <v>0</v>
      </c>
      <c r="P72" t="s">
        <v>145</v>
      </c>
      <c r="Q72" s="20"/>
    </row>
    <row r="73" spans="1:17" x14ac:dyDescent="0.25">
      <c r="A73" s="17" t="s">
        <v>219</v>
      </c>
      <c r="B73" s="25" t="s">
        <v>59</v>
      </c>
      <c r="C73" s="24">
        <f>IF(AND($C$2*F73&gt;K73,G73+H73+I73+J73&lt;&gt;0),$C$2*F73-K73,0)</f>
        <v>0</v>
      </c>
      <c r="D73" s="27">
        <v>46478</v>
      </c>
      <c r="E73" s="8">
        <f ca="1">IF(OR(DATEDIF(TODAY(),D73,"M")=1,DATEDIF(TODAY(),D73,"M")=0),1,0)</f>
        <v>0</v>
      </c>
      <c r="F73" s="22">
        <v>2</v>
      </c>
      <c r="G73" s="22">
        <v>14</v>
      </c>
      <c r="H73" s="21">
        <f>_xlfn.XLOOKUP("000289", Sheet1!$O$4:$O$115, Sheet1!$Q$4:$Q$115,0)</f>
        <v>12</v>
      </c>
      <c r="I73" s="8"/>
      <c r="J73" s="8"/>
      <c r="K73" s="22">
        <f>G73+H73-(I73+J73)</f>
        <v>26</v>
      </c>
      <c r="L73" s="8">
        <v>12</v>
      </c>
      <c r="M73" s="8">
        <v>12</v>
      </c>
      <c r="N73" s="9" t="s">
        <v>331</v>
      </c>
      <c r="O73" s="19">
        <v>0</v>
      </c>
      <c r="P73" t="s">
        <v>145</v>
      </c>
      <c r="Q73" s="20"/>
    </row>
    <row r="74" spans="1:17" x14ac:dyDescent="0.25">
      <c r="A74" s="17" t="s">
        <v>220</v>
      </c>
      <c r="B74" s="26" t="s">
        <v>60</v>
      </c>
      <c r="C74" s="24">
        <f>IF(AND($C$2*F74&gt;K74,G74+H74+I74+J74&lt;&gt;0),$C$2*F74-K74,0)</f>
        <v>0</v>
      </c>
      <c r="D74" s="27"/>
      <c r="E74" s="8"/>
      <c r="F74" s="22">
        <v>16</v>
      </c>
      <c r="G74" s="22">
        <v>13</v>
      </c>
      <c r="H74" s="21">
        <f>_xlfn.XLOOKUP("000292", Sheet1!$O$4:$O$115, Sheet1!$Q$4:$Q$115,0)</f>
        <v>13</v>
      </c>
      <c r="I74" s="8"/>
      <c r="J74" s="8"/>
      <c r="K74" s="22">
        <f>G74+H74-(I74+J74)</f>
        <v>26</v>
      </c>
      <c r="L74" s="8"/>
      <c r="M74" s="8"/>
      <c r="N74" s="9" t="s">
        <v>92</v>
      </c>
      <c r="O74" s="19">
        <v>0</v>
      </c>
      <c r="P74" t="s">
        <v>145</v>
      </c>
      <c r="Q74" s="20"/>
    </row>
    <row r="75" spans="1:17" x14ac:dyDescent="0.25">
      <c r="A75" s="17" t="s">
        <v>221</v>
      </c>
      <c r="B75" s="43" t="s">
        <v>61</v>
      </c>
      <c r="C75" s="24">
        <f>IF(AND($C$2*F75&gt;K75,G75+H75+I75+J75&lt;&gt;0),$C$2*F75-K75,0)</f>
        <v>0</v>
      </c>
      <c r="D75" s="27">
        <v>46297</v>
      </c>
      <c r="E75" s="8">
        <f ca="1">IF(OR(DATEDIF(TODAY(),D75,"M")=1,DATEDIF(TODAY(),D75,"M")=0),1,0)</f>
        <v>0</v>
      </c>
      <c r="F75" s="22">
        <v>18</v>
      </c>
      <c r="G75" s="22">
        <v>8</v>
      </c>
      <c r="H75" s="21">
        <f>_xlfn.XLOOKUP("000298", Sheet1!$O$4:$O$115, Sheet1!$Q$4:$Q$115,0)</f>
        <v>12</v>
      </c>
      <c r="I75" s="8"/>
      <c r="J75" s="8"/>
      <c r="K75" s="22">
        <f>G75+H75-(I75+J75)</f>
        <v>20</v>
      </c>
      <c r="L75" s="8"/>
      <c r="M75" s="8"/>
      <c r="N75" s="9" t="s">
        <v>92</v>
      </c>
      <c r="O75" s="19">
        <v>0</v>
      </c>
      <c r="P75" t="s">
        <v>145</v>
      </c>
      <c r="Q75" s="20"/>
    </row>
    <row r="76" spans="1:17" x14ac:dyDescent="0.25">
      <c r="A76" s="17" t="s">
        <v>222</v>
      </c>
      <c r="B76" s="26" t="s">
        <v>128</v>
      </c>
      <c r="C76" s="24">
        <f>IF(AND($C$2*F76&gt;K76,G76+H76+I76+J76&lt;&gt;0),$C$2*F76-K76,0)</f>
        <v>0</v>
      </c>
      <c r="D76" s="27"/>
      <c r="E76" s="8"/>
      <c r="F76" s="22">
        <v>20</v>
      </c>
      <c r="G76" s="22">
        <v>23</v>
      </c>
      <c r="H76" s="21">
        <f>_xlfn.XLOOKUP("000305", Sheet1!$O$4:$O$115, Sheet1!$Q$4:$Q$115,0)</f>
        <v>10</v>
      </c>
      <c r="I76" s="8"/>
      <c r="J76" s="8"/>
      <c r="K76" s="22">
        <f>G76+H76-(I76+J76)</f>
        <v>33</v>
      </c>
      <c r="L76" s="8">
        <v>14</v>
      </c>
      <c r="M76" s="8"/>
      <c r="N76" s="9" t="s">
        <v>1</v>
      </c>
      <c r="O76" s="19">
        <v>0</v>
      </c>
      <c r="P76" t="s">
        <v>145</v>
      </c>
      <c r="Q76" s="20"/>
    </row>
    <row r="77" spans="1:17" x14ac:dyDescent="0.25">
      <c r="A77" s="17" t="s">
        <v>223</v>
      </c>
      <c r="B77" s="25" t="s">
        <v>62</v>
      </c>
      <c r="C77" s="24">
        <f>IF(AND($C$2*F77&gt;K77,G77+H77+I77+J77&lt;&gt;0),$C$2*F77-K77,0)</f>
        <v>0</v>
      </c>
      <c r="D77" s="27"/>
      <c r="E77" s="8"/>
      <c r="F77" s="22">
        <v>10</v>
      </c>
      <c r="G77" s="22">
        <v>7</v>
      </c>
      <c r="H77" s="21">
        <f>_xlfn.XLOOKUP("000310", Sheet1!$O$4:$O$115, Sheet1!$Q$4:$Q$115,0)</f>
        <v>10</v>
      </c>
      <c r="I77" s="8"/>
      <c r="J77" s="8"/>
      <c r="K77" s="22">
        <f>G77+H77-(I77+J77)</f>
        <v>17</v>
      </c>
      <c r="L77" s="8">
        <v>14</v>
      </c>
      <c r="M77" s="8"/>
      <c r="N77" s="9" t="s">
        <v>1</v>
      </c>
      <c r="O77" s="19">
        <v>0</v>
      </c>
      <c r="P77" t="s">
        <v>145</v>
      </c>
      <c r="Q77" s="20"/>
    </row>
    <row r="78" spans="1:17" x14ac:dyDescent="0.25">
      <c r="A78" s="17" t="s">
        <v>224</v>
      </c>
      <c r="B78" s="43" t="s">
        <v>63</v>
      </c>
      <c r="C78" s="24">
        <f>IF(AND($C$2*F78&gt;K78,G78+H78+I78+J78&lt;&gt;0),$C$2*F78-K78,0)</f>
        <v>0</v>
      </c>
      <c r="D78" s="27"/>
      <c r="E78" s="8"/>
      <c r="F78" s="22">
        <v>20</v>
      </c>
      <c r="G78" s="22">
        <v>19</v>
      </c>
      <c r="H78" s="21">
        <f>_xlfn.XLOOKUP("000313", Sheet1!$O$4:$O$115, Sheet1!$Q$4:$Q$115,0)</f>
        <v>10</v>
      </c>
      <c r="I78" s="8"/>
      <c r="J78" s="8"/>
      <c r="K78" s="22">
        <f>G78+H78-(I78+J78)</f>
        <v>29</v>
      </c>
      <c r="L78" s="8">
        <v>8</v>
      </c>
      <c r="M78" s="8"/>
      <c r="N78" s="9" t="s">
        <v>1</v>
      </c>
      <c r="O78" s="19">
        <v>0</v>
      </c>
      <c r="P78" t="s">
        <v>145</v>
      </c>
      <c r="Q78" s="20"/>
    </row>
    <row r="79" spans="1:17" x14ac:dyDescent="0.25">
      <c r="A79" s="17" t="s">
        <v>225</v>
      </c>
      <c r="B79" s="43" t="s">
        <v>64</v>
      </c>
      <c r="C79" s="24">
        <f>IF(AND($C$2*F79&gt;K79,G79+H79+I79+J79&lt;&gt;0),$C$2*F79-K79,0)</f>
        <v>0</v>
      </c>
      <c r="D79" s="27"/>
      <c r="E79" s="8"/>
      <c r="F79" s="22">
        <v>10</v>
      </c>
      <c r="G79" s="22">
        <v>14</v>
      </c>
      <c r="H79" s="21">
        <f>_xlfn.XLOOKUP("000320", Sheet1!$O$4:$O$115, Sheet1!$Q$4:$Q$115,0)</f>
        <v>0</v>
      </c>
      <c r="I79" s="8"/>
      <c r="J79" s="8"/>
      <c r="K79" s="22">
        <f>G79+H79-(I79+J79)</f>
        <v>14</v>
      </c>
      <c r="L79" s="8">
        <v>15</v>
      </c>
      <c r="M79" s="8"/>
      <c r="N79" s="9" t="s">
        <v>1</v>
      </c>
      <c r="O79" s="19">
        <v>0</v>
      </c>
      <c r="P79" t="s">
        <v>145</v>
      </c>
      <c r="Q79" s="20"/>
    </row>
    <row r="80" spans="1:17" x14ac:dyDescent="0.25">
      <c r="A80" s="17" t="s">
        <v>226</v>
      </c>
      <c r="B80" s="43" t="s">
        <v>129</v>
      </c>
      <c r="C80" s="24">
        <f>IF(AND($C$2*F80&gt;K80,G80+H80+I80+J80&lt;&gt;0),$C$2*F80-K80,0)</f>
        <v>0</v>
      </c>
      <c r="D80" s="27"/>
      <c r="E80" s="8"/>
      <c r="F80" s="22">
        <v>15</v>
      </c>
      <c r="G80" s="22">
        <v>16</v>
      </c>
      <c r="H80" s="21">
        <f>_xlfn.XLOOKUP("000325", Sheet1!$O$4:$O$115, Sheet1!$Q$4:$Q$115,0)</f>
        <v>0</v>
      </c>
      <c r="I80" s="8"/>
      <c r="J80" s="8"/>
      <c r="K80" s="22">
        <f>G80+H80-(I80+J80)</f>
        <v>16</v>
      </c>
      <c r="L80" s="8">
        <v>10</v>
      </c>
      <c r="M80" s="8"/>
      <c r="N80" s="9" t="s">
        <v>1</v>
      </c>
      <c r="O80" s="19">
        <v>0</v>
      </c>
      <c r="P80" t="s">
        <v>145</v>
      </c>
      <c r="Q80" s="20"/>
    </row>
    <row r="81" spans="1:17" x14ac:dyDescent="0.25">
      <c r="A81" s="17" t="s">
        <v>227</v>
      </c>
      <c r="B81" s="43" t="s">
        <v>65</v>
      </c>
      <c r="C81" s="24">
        <f>IF(AND($C$2*F81&gt;K81,G81+H81+I81+J81&lt;&gt;0),$C$2*F81-K81,0)</f>
        <v>8</v>
      </c>
      <c r="D81" s="27"/>
      <c r="E81" s="8"/>
      <c r="F81" s="22">
        <v>20</v>
      </c>
      <c r="G81" s="22">
        <v>12</v>
      </c>
      <c r="H81" s="21">
        <f>_xlfn.XLOOKUP("000329", Sheet1!$O$4:$O$115, Sheet1!$Q$4:$Q$115,0)</f>
        <v>0</v>
      </c>
      <c r="I81" s="8"/>
      <c r="J81" s="8"/>
      <c r="K81" s="22">
        <f>G81+H81-(I81+J81)</f>
        <v>12</v>
      </c>
      <c r="L81" s="8">
        <v>14</v>
      </c>
      <c r="M81" s="8"/>
      <c r="N81" s="9" t="s">
        <v>1</v>
      </c>
      <c r="O81" s="19">
        <v>0</v>
      </c>
      <c r="P81" t="s">
        <v>145</v>
      </c>
      <c r="Q81" s="20"/>
    </row>
    <row r="82" spans="1:17" x14ac:dyDescent="0.25">
      <c r="A82" s="17" t="s">
        <v>228</v>
      </c>
      <c r="B82" s="43" t="s">
        <v>130</v>
      </c>
      <c r="C82" s="24">
        <f>IF(AND($C$2*F82&gt;K82,G82+H82+I82+J82&lt;&gt;0),$C$2*F82-K82,0)</f>
        <v>0</v>
      </c>
      <c r="D82" s="27"/>
      <c r="E82" s="8"/>
      <c r="F82" s="22">
        <v>20</v>
      </c>
      <c r="G82" s="22">
        <v>27</v>
      </c>
      <c r="H82" s="21">
        <f>_xlfn.XLOOKUP("000331", Sheet1!$O$4:$O$115, Sheet1!$Q$4:$Q$115,0)</f>
        <v>20</v>
      </c>
      <c r="I82" s="8"/>
      <c r="J82" s="8"/>
      <c r="K82" s="22">
        <f>G82+H82-(I82+J82)</f>
        <v>47</v>
      </c>
      <c r="L82" s="8">
        <v>10</v>
      </c>
      <c r="M82" s="8"/>
      <c r="N82" s="9" t="s">
        <v>1</v>
      </c>
      <c r="O82" s="19">
        <v>0</v>
      </c>
      <c r="P82" t="s">
        <v>145</v>
      </c>
      <c r="Q82" s="20"/>
    </row>
    <row r="83" spans="1:17" x14ac:dyDescent="0.25">
      <c r="A83" s="17" t="s">
        <v>229</v>
      </c>
      <c r="B83" s="25" t="s">
        <v>2</v>
      </c>
      <c r="C83" s="24">
        <f>IF(AND($C$2*F83&gt;K83,G83+H83+I83+J83&lt;&gt;0),$C$2*F83-K83,0)</f>
        <v>0</v>
      </c>
      <c r="D83" s="27"/>
      <c r="E83" s="8"/>
      <c r="F83" s="22"/>
      <c r="G83" s="22"/>
      <c r="H83" s="21">
        <f>_xlfn.XLOOKUP("000336", Sheet1!$O$4:$O$115, Sheet1!$Q$4:$Q$115,0)</f>
        <v>0</v>
      </c>
      <c r="I83" s="8"/>
      <c r="J83" s="8"/>
      <c r="K83" s="22">
        <f>G83+H83-(I83+J83)</f>
        <v>0</v>
      </c>
      <c r="L83" s="8">
        <v>4</v>
      </c>
      <c r="M83" s="8">
        <v>1</v>
      </c>
      <c r="N83" s="9" t="s">
        <v>1</v>
      </c>
      <c r="O83" s="19">
        <v>0</v>
      </c>
      <c r="P83" t="s">
        <v>145</v>
      </c>
      <c r="Q83" s="20"/>
    </row>
    <row r="84" spans="1:17" x14ac:dyDescent="0.25">
      <c r="A84" s="17" t="s">
        <v>230</v>
      </c>
      <c r="B84" s="43" t="s">
        <v>131</v>
      </c>
      <c r="C84" s="24">
        <f>IF(AND($C$2*F84&gt;K84,G84+H84+I84+J84&lt;&gt;0),$C$2*F84-K84,0)</f>
        <v>0</v>
      </c>
      <c r="D84" s="27"/>
      <c r="E84" s="8"/>
      <c r="F84" s="22">
        <v>10</v>
      </c>
      <c r="G84" s="22">
        <v>9</v>
      </c>
      <c r="H84" s="21">
        <f>_xlfn.XLOOKUP("000343", Sheet1!$O$4:$O$115, Sheet1!$Q$4:$Q$115,0)</f>
        <v>10</v>
      </c>
      <c r="I84" s="8"/>
      <c r="J84" s="8"/>
      <c r="K84" s="22">
        <f>G84+H84-(I84+J84)</f>
        <v>19</v>
      </c>
      <c r="L84" s="8">
        <v>27</v>
      </c>
      <c r="M84" s="8"/>
      <c r="N84" s="9" t="s">
        <v>1</v>
      </c>
      <c r="O84" s="19">
        <v>0</v>
      </c>
      <c r="P84" t="s">
        <v>145</v>
      </c>
      <c r="Q84" s="20"/>
    </row>
    <row r="85" spans="1:17" x14ac:dyDescent="0.25">
      <c r="A85" s="17" t="s">
        <v>231</v>
      </c>
      <c r="B85" s="43" t="s">
        <v>132</v>
      </c>
      <c r="C85" s="24">
        <f>IF(AND($C$2*F85&gt;K85,G85+H85+I85+J85&lt;&gt;0),$C$2*F85-K85,0)</f>
        <v>0</v>
      </c>
      <c r="D85" s="27"/>
      <c r="E85" s="8"/>
      <c r="F85" s="22">
        <v>15</v>
      </c>
      <c r="G85" s="22">
        <v>19</v>
      </c>
      <c r="H85" s="21">
        <f>_xlfn.XLOOKUP("000345", Sheet1!$O$4:$O$115, Sheet1!$Q$4:$Q$115,0)</f>
        <v>60</v>
      </c>
      <c r="I85" s="8"/>
      <c r="J85" s="8"/>
      <c r="K85" s="22">
        <f>G85+H85-(I85+J85)</f>
        <v>79</v>
      </c>
      <c r="L85" s="8">
        <v>6</v>
      </c>
      <c r="M85" s="8">
        <v>15</v>
      </c>
      <c r="N85" s="9" t="s">
        <v>301</v>
      </c>
      <c r="O85" s="19">
        <v>0</v>
      </c>
      <c r="P85" t="s">
        <v>145</v>
      </c>
      <c r="Q85" s="20"/>
    </row>
    <row r="86" spans="1:17" x14ac:dyDescent="0.25">
      <c r="A86" s="17" t="s">
        <v>232</v>
      </c>
      <c r="B86" s="25" t="s">
        <v>66</v>
      </c>
      <c r="C86" s="24">
        <f>IF(AND($C$2*F86&gt;K86,G86+H86+I86+J86&lt;&gt;0),$C$2*F86-K86,0)</f>
        <v>0</v>
      </c>
      <c r="D86" s="27"/>
      <c r="E86" s="8"/>
      <c r="F86" s="22">
        <v>10</v>
      </c>
      <c r="G86" s="22">
        <v>15</v>
      </c>
      <c r="H86" s="21">
        <f>_xlfn.XLOOKUP("000350", Sheet1!$O$4:$O$115, Sheet1!$Q$4:$Q$115,0)</f>
        <v>0</v>
      </c>
      <c r="I86" s="8"/>
      <c r="J86" s="8"/>
      <c r="K86" s="22">
        <f>G86+H86-(I86+J86)</f>
        <v>15</v>
      </c>
      <c r="L86" s="8">
        <v>12</v>
      </c>
      <c r="M86" s="8">
        <v>9</v>
      </c>
      <c r="N86" s="9" t="s">
        <v>303</v>
      </c>
      <c r="O86" s="19">
        <v>0</v>
      </c>
      <c r="P86" t="s">
        <v>145</v>
      </c>
      <c r="Q86" s="20"/>
    </row>
    <row r="87" spans="1:17" x14ac:dyDescent="0.25">
      <c r="A87" s="17" t="s">
        <v>233</v>
      </c>
      <c r="B87" s="25" t="s">
        <v>67</v>
      </c>
      <c r="C87" s="24">
        <f>IF(AND($C$2*F87&gt;K87,G87+H87+I87+J87&lt;&gt;0),$C$2*F87-K87,0)</f>
        <v>0</v>
      </c>
      <c r="D87" s="27"/>
      <c r="E87" s="8"/>
      <c r="F87" s="22">
        <v>5</v>
      </c>
      <c r="G87" s="22">
        <v>8</v>
      </c>
      <c r="H87" s="21">
        <f>_xlfn.XLOOKUP("000351", Sheet1!$O$4:$O$115, Sheet1!$Q$4:$Q$115,0)</f>
        <v>0</v>
      </c>
      <c r="I87" s="8"/>
      <c r="J87" s="8"/>
      <c r="K87" s="22">
        <f>G87+H87-(I87+J87)</f>
        <v>8</v>
      </c>
      <c r="L87" s="8">
        <v>24</v>
      </c>
      <c r="M87" s="8">
        <v>9</v>
      </c>
      <c r="N87" s="9" t="s">
        <v>301</v>
      </c>
      <c r="O87" s="19">
        <v>0</v>
      </c>
      <c r="P87" t="s">
        <v>145</v>
      </c>
      <c r="Q87" s="20"/>
    </row>
    <row r="88" spans="1:17" x14ac:dyDescent="0.25">
      <c r="A88" s="17" t="s">
        <v>234</v>
      </c>
      <c r="B88" s="25" t="s">
        <v>68</v>
      </c>
      <c r="C88" s="24">
        <f>IF(AND($C$2*F88&gt;K88,G88+H88+I88+J88&lt;&gt;0),$C$2*F88-K88,0)</f>
        <v>0</v>
      </c>
      <c r="D88" s="27"/>
      <c r="E88" s="8"/>
      <c r="F88" s="22">
        <v>18</v>
      </c>
      <c r="G88" s="22">
        <v>23</v>
      </c>
      <c r="H88" s="21">
        <f>_xlfn.XLOOKUP("000354", Sheet1!$O$4:$O$115, Sheet1!$Q$4:$Q$115,0)</f>
        <v>68</v>
      </c>
      <c r="I88" s="8"/>
      <c r="J88" s="8"/>
      <c r="K88" s="22">
        <f>G88+H88-(I88+J88)</f>
        <v>91</v>
      </c>
      <c r="L88" s="8">
        <v>12</v>
      </c>
      <c r="M88" s="8">
        <v>17</v>
      </c>
      <c r="N88" s="9" t="s">
        <v>302</v>
      </c>
      <c r="O88" s="19">
        <v>0</v>
      </c>
      <c r="P88" t="s">
        <v>145</v>
      </c>
      <c r="Q88" s="20"/>
    </row>
    <row r="89" spans="1:17" x14ac:dyDescent="0.25">
      <c r="A89" s="17" t="s">
        <v>235</v>
      </c>
      <c r="B89" s="25" t="s">
        <v>69</v>
      </c>
      <c r="C89" s="24">
        <f>IF(AND($C$2*F89&gt;K89,G89+H89+I89+J89&lt;&gt;0),$C$2*F89-K89,0)</f>
        <v>0</v>
      </c>
      <c r="D89" s="27"/>
      <c r="E89" s="8"/>
      <c r="F89" s="22">
        <v>18</v>
      </c>
      <c r="G89" s="22">
        <v>11</v>
      </c>
      <c r="H89" s="21">
        <f>_xlfn.XLOOKUP("000357", Sheet1!$O$4:$O$115, Sheet1!$Q$4:$Q$115,0)</f>
        <v>48</v>
      </c>
      <c r="I89" s="8"/>
      <c r="J89" s="8"/>
      <c r="K89" s="22">
        <f>G89+H89-(I89+J89)</f>
        <v>59</v>
      </c>
      <c r="L89" s="8">
        <v>10</v>
      </c>
      <c r="M89" s="8">
        <v>12</v>
      </c>
      <c r="N89" s="9" t="s">
        <v>303</v>
      </c>
      <c r="O89" s="19">
        <v>0</v>
      </c>
      <c r="P89" t="s">
        <v>145</v>
      </c>
      <c r="Q89" s="20"/>
    </row>
    <row r="90" spans="1:17" x14ac:dyDescent="0.25">
      <c r="A90" s="17" t="s">
        <v>236</v>
      </c>
      <c r="B90" s="25" t="s">
        <v>70</v>
      </c>
      <c r="C90" s="24">
        <f>IF(AND($C$2*F90&gt;K90,G90+H90+I90+J90&lt;&gt;0),$C$2*F90-K90,0)</f>
        <v>0</v>
      </c>
      <c r="D90" s="27"/>
      <c r="E90" s="8"/>
      <c r="F90" s="22">
        <v>27</v>
      </c>
      <c r="G90" s="22">
        <v>28</v>
      </c>
      <c r="H90" s="21">
        <f>_xlfn.XLOOKUP("000359", Sheet1!$O$4:$O$115, Sheet1!$Q$4:$Q$115,0)</f>
        <v>0</v>
      </c>
      <c r="I90" s="8"/>
      <c r="J90" s="8"/>
      <c r="K90" s="22">
        <f>G90+H90-(I90+J90)</f>
        <v>28</v>
      </c>
      <c r="L90" s="8">
        <v>6</v>
      </c>
      <c r="M90" s="8">
        <v>12</v>
      </c>
      <c r="N90" s="9" t="s">
        <v>305</v>
      </c>
      <c r="O90" s="19">
        <v>0</v>
      </c>
      <c r="P90" t="s">
        <v>145</v>
      </c>
      <c r="Q90" s="20"/>
    </row>
    <row r="91" spans="1:17" x14ac:dyDescent="0.25">
      <c r="A91" s="17" t="s">
        <v>237</v>
      </c>
      <c r="B91" s="25" t="s">
        <v>71</v>
      </c>
      <c r="C91" s="24">
        <f>IF(AND($C$2*F91&gt;K91,G91+H91+I91+J91&lt;&gt;0),$C$2*F91-K91,0)</f>
        <v>0</v>
      </c>
      <c r="D91" s="27"/>
      <c r="E91" s="8"/>
      <c r="F91" s="22">
        <v>8</v>
      </c>
      <c r="G91" s="22">
        <v>18</v>
      </c>
      <c r="H91" s="21">
        <f>_xlfn.XLOOKUP("000362", Sheet1!$O$4:$O$115, Sheet1!$Q$4:$Q$115,0)</f>
        <v>0</v>
      </c>
      <c r="I91" s="8"/>
      <c r="J91" s="8"/>
      <c r="K91" s="22">
        <f>G91+H91-(I91+J91)</f>
        <v>18</v>
      </c>
      <c r="L91" s="8">
        <v>4</v>
      </c>
      <c r="M91" s="8">
        <v>13</v>
      </c>
      <c r="N91" s="9" t="s">
        <v>299</v>
      </c>
      <c r="O91" s="19">
        <v>0</v>
      </c>
      <c r="P91" t="s">
        <v>145</v>
      </c>
      <c r="Q91" s="20"/>
    </row>
    <row r="92" spans="1:17" x14ac:dyDescent="0.25">
      <c r="A92" s="17" t="s">
        <v>238</v>
      </c>
      <c r="B92" s="25" t="s">
        <v>72</v>
      </c>
      <c r="C92" s="24">
        <f>IF(AND($C$2*F92&gt;K92,G92+H92+I92+J92&lt;&gt;0),$C$2*F92-K92,0)</f>
        <v>0</v>
      </c>
      <c r="D92" s="27"/>
      <c r="E92" s="8"/>
      <c r="F92" s="22">
        <v>16</v>
      </c>
      <c r="G92" s="22">
        <v>16</v>
      </c>
      <c r="H92" s="21">
        <f>_xlfn.XLOOKUP("000363", Sheet1!$O$4:$O$115, Sheet1!$Q$4:$Q$115,0)</f>
        <v>0</v>
      </c>
      <c r="I92" s="8"/>
      <c r="J92" s="8"/>
      <c r="K92" s="22">
        <f>G92+H92-(I92+J92)</f>
        <v>16</v>
      </c>
      <c r="L92" s="8">
        <v>12</v>
      </c>
      <c r="M92" s="8">
        <v>26</v>
      </c>
      <c r="N92" s="9" t="s">
        <v>304</v>
      </c>
      <c r="O92" s="19">
        <v>0</v>
      </c>
      <c r="P92" t="s">
        <v>145</v>
      </c>
      <c r="Q92" s="20"/>
    </row>
    <row r="93" spans="1:17" x14ac:dyDescent="0.25">
      <c r="A93" s="17" t="s">
        <v>239</v>
      </c>
      <c r="B93" s="25" t="s">
        <v>73</v>
      </c>
      <c r="C93" s="24">
        <f>IF(AND($C$2*F93&gt;K93,G93+H93+I93+J93&lt;&gt;0),$C$2*F93-K93,0)</f>
        <v>0</v>
      </c>
      <c r="D93" s="27"/>
      <c r="E93" s="8"/>
      <c r="F93" s="22">
        <v>8</v>
      </c>
      <c r="G93" s="22">
        <v>31</v>
      </c>
      <c r="H93" s="21">
        <f>_xlfn.XLOOKUP("000365", Sheet1!$O$4:$O$115, Sheet1!$Q$4:$Q$115,0)</f>
        <v>0</v>
      </c>
      <c r="I93" s="8"/>
      <c r="J93" s="8"/>
      <c r="K93" s="22">
        <f>G93+H93-(I93+J93)</f>
        <v>31</v>
      </c>
      <c r="L93" s="8">
        <v>4</v>
      </c>
      <c r="M93" s="8">
        <v>10</v>
      </c>
      <c r="N93" s="9" t="s">
        <v>299</v>
      </c>
      <c r="O93" s="19">
        <v>0</v>
      </c>
      <c r="P93" t="s">
        <v>145</v>
      </c>
      <c r="Q93" s="20"/>
    </row>
    <row r="94" spans="1:17" x14ac:dyDescent="0.25">
      <c r="A94" s="17" t="s">
        <v>240</v>
      </c>
      <c r="B94" s="25" t="s">
        <v>74</v>
      </c>
      <c r="C94" s="24">
        <f>IF(AND($C$2*F94&gt;K94,G94+H94+I94+J94&lt;&gt;0),$C$2*F94-K94,0)</f>
        <v>0</v>
      </c>
      <c r="D94" s="27"/>
      <c r="E94" s="8"/>
      <c r="F94" s="22">
        <v>10</v>
      </c>
      <c r="G94" s="22">
        <v>25</v>
      </c>
      <c r="H94" s="21">
        <f>_xlfn.XLOOKUP("000366", Sheet1!$O$4:$O$115, Sheet1!$Q$4:$Q$115,0)</f>
        <v>0</v>
      </c>
      <c r="I94" s="8"/>
      <c r="J94" s="8"/>
      <c r="K94" s="22">
        <f>G94+H94-(I94+J94)</f>
        <v>25</v>
      </c>
      <c r="L94" s="8">
        <v>4</v>
      </c>
      <c r="M94" s="8">
        <v>10</v>
      </c>
      <c r="N94" s="9" t="s">
        <v>300</v>
      </c>
      <c r="O94" s="19">
        <v>0</v>
      </c>
      <c r="P94" t="s">
        <v>145</v>
      </c>
      <c r="Q94" s="20"/>
    </row>
    <row r="95" spans="1:17" x14ac:dyDescent="0.25">
      <c r="A95" s="17" t="s">
        <v>241</v>
      </c>
      <c r="B95" s="25" t="s">
        <v>75</v>
      </c>
      <c r="C95" s="24">
        <f>IF(AND($C$2*F95&gt;K95,G95+H95+I95+J95&lt;&gt;0),$C$2*F95-K95,0)</f>
        <v>0</v>
      </c>
      <c r="D95" s="27"/>
      <c r="E95" s="8"/>
      <c r="F95" s="22">
        <v>4</v>
      </c>
      <c r="G95" s="22">
        <v>4</v>
      </c>
      <c r="H95" s="21">
        <f>_xlfn.XLOOKUP("000369", Sheet1!$O$4:$O$115, Sheet1!$Q$4:$Q$115,0)</f>
        <v>0</v>
      </c>
      <c r="I95" s="8"/>
      <c r="J95" s="8"/>
      <c r="K95" s="22">
        <f>G95+H95-(I95+J95)</f>
        <v>4</v>
      </c>
      <c r="L95" s="8">
        <v>35</v>
      </c>
      <c r="M95" s="8">
        <v>17</v>
      </c>
      <c r="N95" s="9" t="s">
        <v>301</v>
      </c>
      <c r="O95" s="19">
        <v>0</v>
      </c>
      <c r="P95" t="s">
        <v>145</v>
      </c>
      <c r="Q95" s="20"/>
    </row>
    <row r="96" spans="1:17" x14ac:dyDescent="0.25">
      <c r="A96" s="17" t="s">
        <v>242</v>
      </c>
      <c r="B96" s="43" t="s">
        <v>76</v>
      </c>
      <c r="C96" s="24">
        <f>IF(AND($C$2*F96&gt;K96,G96+H96+I96+J96&lt;&gt;0),$C$2*F96-K96,0)</f>
        <v>0</v>
      </c>
      <c r="D96" s="27"/>
      <c r="E96" s="8"/>
      <c r="F96" s="22">
        <v>16</v>
      </c>
      <c r="G96" s="22">
        <v>61</v>
      </c>
      <c r="H96" s="21">
        <f>_xlfn.XLOOKUP("000370", Sheet1!$O$4:$O$115, Sheet1!$Q$4:$Q$115,0)</f>
        <v>0</v>
      </c>
      <c r="I96" s="8"/>
      <c r="J96" s="8">
        <v>12</v>
      </c>
      <c r="K96" s="22">
        <f>G96+H96-(I96+J96)</f>
        <v>49</v>
      </c>
      <c r="L96" s="8">
        <v>12</v>
      </c>
      <c r="M96" s="8">
        <v>15</v>
      </c>
      <c r="N96" s="9" t="s">
        <v>299</v>
      </c>
      <c r="O96" s="19">
        <v>0</v>
      </c>
      <c r="P96" t="s">
        <v>145</v>
      </c>
      <c r="Q96" s="20"/>
    </row>
    <row r="97" spans="1:17" x14ac:dyDescent="0.25">
      <c r="A97" s="17" t="s">
        <v>243</v>
      </c>
      <c r="B97" s="25" t="s">
        <v>77</v>
      </c>
      <c r="C97" s="24">
        <f>IF(AND($C$2*F97&gt;K97,G97+H97+I97+J97&lt;&gt;0),$C$2*F97-K97,0)</f>
        <v>3</v>
      </c>
      <c r="D97" s="27"/>
      <c r="E97" s="8"/>
      <c r="F97" s="22">
        <v>6</v>
      </c>
      <c r="G97" s="22">
        <v>3</v>
      </c>
      <c r="H97" s="21">
        <f>_xlfn.XLOOKUP("000371", Sheet1!$O$4:$O$115, Sheet1!$Q$4:$Q$115,0)</f>
        <v>0</v>
      </c>
      <c r="I97" s="8"/>
      <c r="J97" s="8"/>
      <c r="K97" s="22">
        <f>G97+H97-(I97+J97)</f>
        <v>3</v>
      </c>
      <c r="L97" s="8">
        <v>24</v>
      </c>
      <c r="M97" s="8">
        <v>21</v>
      </c>
      <c r="N97" s="9" t="s">
        <v>304</v>
      </c>
      <c r="O97" s="19">
        <v>0</v>
      </c>
      <c r="P97" t="s">
        <v>145</v>
      </c>
      <c r="Q97" s="20"/>
    </row>
    <row r="98" spans="1:17" x14ac:dyDescent="0.25">
      <c r="A98" s="17" t="s">
        <v>244</v>
      </c>
      <c r="B98" s="25" t="s">
        <v>78</v>
      </c>
      <c r="C98" s="24">
        <f>IF(AND($C$2*F98&gt;K98,G98+H98+I98+J98&lt;&gt;0),$C$2*F98-K98,0)</f>
        <v>0</v>
      </c>
      <c r="D98" s="27"/>
      <c r="E98" s="8"/>
      <c r="F98" s="22">
        <v>4</v>
      </c>
      <c r="G98" s="22">
        <v>5</v>
      </c>
      <c r="H98" s="21">
        <f>_xlfn.XLOOKUP("000390", Sheet1!$O$4:$O$115, Sheet1!$Q$4:$Q$115,0)</f>
        <v>0</v>
      </c>
      <c r="I98" s="8"/>
      <c r="J98" s="8"/>
      <c r="K98" s="22">
        <f>G98+H98-(I98+J98)</f>
        <v>5</v>
      </c>
      <c r="L98" s="8">
        <v>24</v>
      </c>
      <c r="M98" s="8">
        <v>16</v>
      </c>
      <c r="N98" s="9" t="s">
        <v>301</v>
      </c>
      <c r="O98" s="19">
        <v>0</v>
      </c>
      <c r="P98" t="s">
        <v>145</v>
      </c>
      <c r="Q98" s="20"/>
    </row>
    <row r="99" spans="1:17" x14ac:dyDescent="0.25">
      <c r="A99" s="17" t="s">
        <v>245</v>
      </c>
      <c r="B99" s="25" t="s">
        <v>79</v>
      </c>
      <c r="C99" s="24">
        <f>IF(AND($C$2*F99&gt;K99,G99+H99+I99+J99&lt;&gt;0),$C$2*F99-K99,0)</f>
        <v>0</v>
      </c>
      <c r="D99" s="27"/>
      <c r="E99" s="8"/>
      <c r="F99" s="22">
        <v>10</v>
      </c>
      <c r="G99" s="22">
        <v>9</v>
      </c>
      <c r="H99" s="21">
        <f>_xlfn.XLOOKUP("000395", Sheet1!$O$4:$O$115, Sheet1!$Q$4:$Q$115,0)</f>
        <v>8</v>
      </c>
      <c r="I99" s="8"/>
      <c r="J99" s="8"/>
      <c r="K99" s="22">
        <f>G99+H99-(I99+J99)</f>
        <v>17</v>
      </c>
      <c r="L99" s="8">
        <v>36</v>
      </c>
      <c r="M99" s="8">
        <v>18</v>
      </c>
      <c r="N99" s="9" t="s">
        <v>302</v>
      </c>
      <c r="O99" s="19">
        <v>0</v>
      </c>
      <c r="P99" t="s">
        <v>145</v>
      </c>
      <c r="Q99" s="20"/>
    </row>
    <row r="100" spans="1:17" ht="15.75" x14ac:dyDescent="0.25">
      <c r="A100" s="17" t="s">
        <v>246</v>
      </c>
      <c r="B100" s="43" t="s">
        <v>133</v>
      </c>
      <c r="C100" s="24">
        <f>IF(AND($C$2*F100&gt;K100,G100+H100+I100+J100&lt;&gt;0),$C$2*F100-K100,0)</f>
        <v>0</v>
      </c>
      <c r="D100" s="27"/>
      <c r="E100" s="8"/>
      <c r="F100" s="22">
        <v>3</v>
      </c>
      <c r="G100" s="40">
        <v>52</v>
      </c>
      <c r="H100" s="21">
        <f>_xlfn.XLOOKUP("000399", Sheet1!$O$4:$O$115, Sheet1!$Q$4:$Q$115,0)</f>
        <v>27</v>
      </c>
      <c r="I100" s="8"/>
      <c r="J100" s="8">
        <v>31</v>
      </c>
      <c r="K100" s="22">
        <f>G100+H100-(I100+J100)</f>
        <v>48</v>
      </c>
      <c r="L100" s="8">
        <v>12</v>
      </c>
      <c r="M100" s="8">
        <v>9</v>
      </c>
      <c r="N100" s="9" t="s">
        <v>305</v>
      </c>
      <c r="O100" s="19">
        <v>0</v>
      </c>
      <c r="P100" t="s">
        <v>145</v>
      </c>
      <c r="Q100" s="20"/>
    </row>
    <row r="101" spans="1:17" x14ac:dyDescent="0.25">
      <c r="A101" s="17" t="s">
        <v>247</v>
      </c>
      <c r="B101" s="25" t="s">
        <v>80</v>
      </c>
      <c r="C101" s="24">
        <f>IF(AND($C$2*F101&gt;K101,G101+H101+I101+J101&lt;&gt;0),$C$2*F101-K101,0)</f>
        <v>0</v>
      </c>
      <c r="D101" s="27"/>
      <c r="E101" s="8"/>
      <c r="F101" s="22">
        <v>5</v>
      </c>
      <c r="G101" s="22">
        <v>9</v>
      </c>
      <c r="H101" s="21">
        <f>_xlfn.XLOOKUP("000406", Sheet1!$O$4:$O$115, Sheet1!$Q$4:$Q$115,0)</f>
        <v>0</v>
      </c>
      <c r="I101" s="8"/>
      <c r="J101" s="8"/>
      <c r="K101" s="22">
        <f>G101+H101-(I101+J101)</f>
        <v>9</v>
      </c>
      <c r="L101" s="8">
        <v>6</v>
      </c>
      <c r="M101" s="8">
        <v>28</v>
      </c>
      <c r="N101" s="9" t="s">
        <v>306</v>
      </c>
      <c r="O101" s="19">
        <v>0</v>
      </c>
      <c r="P101" t="s">
        <v>145</v>
      </c>
      <c r="Q101" s="20"/>
    </row>
    <row r="102" spans="1:17" x14ac:dyDescent="0.25">
      <c r="A102" s="17" t="s">
        <v>248</v>
      </c>
      <c r="B102" s="25" t="s">
        <v>81</v>
      </c>
      <c r="C102" s="24">
        <f>IF(AND($C$2*F102&gt;K102,G102+H102+I102+J102&lt;&gt;0),$C$2*F102-K102,0)</f>
        <v>0</v>
      </c>
      <c r="D102" s="27"/>
      <c r="E102" s="8"/>
      <c r="F102" s="22">
        <v>5</v>
      </c>
      <c r="G102" s="22">
        <v>8</v>
      </c>
      <c r="H102" s="21">
        <f>_xlfn.XLOOKUP("000407", Sheet1!$O$4:$O$115, Sheet1!$Q$4:$Q$115,0)</f>
        <v>0</v>
      </c>
      <c r="I102" s="8"/>
      <c r="J102" s="8"/>
      <c r="K102" s="22">
        <f>G102+H102-(I102+J102)</f>
        <v>8</v>
      </c>
      <c r="L102" s="8">
        <v>6</v>
      </c>
      <c r="M102" s="8">
        <v>24</v>
      </c>
      <c r="N102" s="9" t="s">
        <v>306</v>
      </c>
      <c r="O102" s="19">
        <v>0</v>
      </c>
      <c r="P102" t="s">
        <v>145</v>
      </c>
      <c r="Q102" s="20"/>
    </row>
    <row r="103" spans="1:17" x14ac:dyDescent="0.25">
      <c r="A103" s="17" t="s">
        <v>249</v>
      </c>
      <c r="B103" s="8"/>
      <c r="C103" s="24">
        <f>IF(AND($C$2*F103&gt;K103,G103+H103+I103+J103&lt;&gt;0),$C$2*F103-K103,0)</f>
        <v>0</v>
      </c>
      <c r="D103" s="27"/>
      <c r="E103" s="8"/>
      <c r="F103" s="22"/>
      <c r="G103" s="22"/>
      <c r="H103" s="21">
        <f>_xlfn.XLOOKUP("000411", Sheet1!$O$4:$O$115, Sheet1!$Q$4:$Q$115,0)</f>
        <v>0</v>
      </c>
      <c r="I103" s="8"/>
      <c r="J103" s="8"/>
      <c r="K103" s="22">
        <f>G103+H103-(I103+J103)</f>
        <v>0</v>
      </c>
      <c r="L103" s="8"/>
      <c r="M103" s="8"/>
      <c r="N103" s="9"/>
      <c r="O103" s="19">
        <v>0</v>
      </c>
      <c r="P103" t="s">
        <v>145</v>
      </c>
      <c r="Q103" s="20"/>
    </row>
    <row r="104" spans="1:17" x14ac:dyDescent="0.25">
      <c r="A104" s="17" t="s">
        <v>250</v>
      </c>
      <c r="B104" s="43" t="s">
        <v>134</v>
      </c>
      <c r="C104" s="24">
        <f>IF(AND($C$2*F104&gt;K104,G104+H104+I104+J104&lt;&gt;0),$C$2*F104-K104,0)</f>
        <v>0</v>
      </c>
      <c r="D104" s="27"/>
      <c r="E104" s="8"/>
      <c r="F104" s="22">
        <v>10</v>
      </c>
      <c r="G104" s="22">
        <v>15</v>
      </c>
      <c r="H104" s="21">
        <f>_xlfn.XLOOKUP("000415", Sheet1!$O$4:$O$115, Sheet1!$Q$4:$Q$115,0)</f>
        <v>0</v>
      </c>
      <c r="I104" s="8"/>
      <c r="J104" s="8"/>
      <c r="K104" s="22">
        <f>G104+H104-(I104+J104)</f>
        <v>15</v>
      </c>
      <c r="L104" s="8">
        <v>12</v>
      </c>
      <c r="M104" s="8">
        <v>40</v>
      </c>
      <c r="N104" s="9" t="s">
        <v>304</v>
      </c>
      <c r="O104" s="19">
        <v>0</v>
      </c>
      <c r="P104" t="s">
        <v>145</v>
      </c>
      <c r="Q104" s="20"/>
    </row>
    <row r="105" spans="1:17" x14ac:dyDescent="0.25">
      <c r="A105" s="17" t="s">
        <v>251</v>
      </c>
      <c r="B105" s="25" t="s">
        <v>82</v>
      </c>
      <c r="C105" s="24">
        <f>IF(AND($C$2*F105&gt;K105,G105+H105+I105+J105&lt;&gt;0),$C$2*F105-K105,0)</f>
        <v>0</v>
      </c>
      <c r="D105" s="27"/>
      <c r="E105" s="8"/>
      <c r="F105" s="22">
        <v>10</v>
      </c>
      <c r="G105" s="22">
        <v>11</v>
      </c>
      <c r="H105" s="21">
        <f>_xlfn.XLOOKUP("000416", Sheet1!$O$4:$O$115, Sheet1!$Q$4:$Q$115,0)</f>
        <v>10</v>
      </c>
      <c r="I105" s="8"/>
      <c r="J105" s="8"/>
      <c r="K105" s="22">
        <f>G105+H105-(I105+J105)</f>
        <v>21</v>
      </c>
      <c r="L105" s="8">
        <v>12</v>
      </c>
      <c r="M105" s="8">
        <v>42</v>
      </c>
      <c r="N105" s="9" t="s">
        <v>304</v>
      </c>
      <c r="O105" s="19">
        <v>0</v>
      </c>
      <c r="P105" t="s">
        <v>145</v>
      </c>
      <c r="Q105" s="20"/>
    </row>
    <row r="106" spans="1:17" x14ac:dyDescent="0.25">
      <c r="A106" s="17" t="s">
        <v>252</v>
      </c>
      <c r="B106" s="26" t="s">
        <v>135</v>
      </c>
      <c r="C106" s="24">
        <f>IF(AND($C$2*F106&gt;K106,G106+H106+I106+J106&lt;&gt;0),$C$2*F106-K106,0)</f>
        <v>0</v>
      </c>
      <c r="D106" s="27"/>
      <c r="E106" s="8"/>
      <c r="F106" s="22">
        <v>84</v>
      </c>
      <c r="G106" s="22">
        <v>102</v>
      </c>
      <c r="H106" s="21">
        <f>_xlfn.XLOOKUP("000419", Sheet1!$O$4:$O$115, Sheet1!$Q$4:$Q$115,0)</f>
        <v>0</v>
      </c>
      <c r="I106" s="8"/>
      <c r="J106" s="8"/>
      <c r="K106" s="22">
        <f>G106+H106-(I106+J106)</f>
        <v>102</v>
      </c>
      <c r="L106" s="8">
        <v>12</v>
      </c>
      <c r="M106" s="8">
        <v>8</v>
      </c>
      <c r="N106" s="9" t="s">
        <v>307</v>
      </c>
      <c r="O106" s="19">
        <v>0</v>
      </c>
      <c r="P106" t="s">
        <v>145</v>
      </c>
      <c r="Q106" s="20"/>
    </row>
    <row r="107" spans="1:17" x14ac:dyDescent="0.25">
      <c r="A107" s="17" t="s">
        <v>253</v>
      </c>
      <c r="B107" s="26" t="s">
        <v>136</v>
      </c>
      <c r="C107" s="24">
        <f>IF(AND($C$2*F107&gt;K107,G107+H107+I107+J107&lt;&gt;0),$C$2*F107-K107,0)</f>
        <v>0</v>
      </c>
      <c r="D107" s="27"/>
      <c r="E107" s="8"/>
      <c r="F107" s="22">
        <v>18</v>
      </c>
      <c r="G107" s="22">
        <v>22</v>
      </c>
      <c r="H107" s="21">
        <f>_xlfn.XLOOKUP("000420", Sheet1!$O$4:$O$115, Sheet1!$Q$4:$Q$115,0)</f>
        <v>0</v>
      </c>
      <c r="I107" s="8"/>
      <c r="J107" s="8"/>
      <c r="K107" s="22">
        <f>G107+H107-(I107+J107)</f>
        <v>22</v>
      </c>
      <c r="L107" s="8">
        <v>6</v>
      </c>
      <c r="M107" s="8">
        <v>45</v>
      </c>
      <c r="N107" s="9" t="s">
        <v>302</v>
      </c>
      <c r="O107" s="19">
        <v>0</v>
      </c>
      <c r="P107" t="s">
        <v>145</v>
      </c>
      <c r="Q107" s="20"/>
    </row>
    <row r="108" spans="1:17" x14ac:dyDescent="0.25">
      <c r="A108" s="17" t="s">
        <v>254</v>
      </c>
      <c r="B108" s="25" t="s">
        <v>83</v>
      </c>
      <c r="C108" s="24">
        <f>IF(AND($C$2*F108&gt;K108,G108+H108+I108+J108&lt;&gt;0),$C$2*F108-K108,0)</f>
        <v>0</v>
      </c>
      <c r="D108" s="27">
        <v>46661</v>
      </c>
      <c r="E108" s="8">
        <f ca="1">IF(OR(DATEDIF(TODAY(),D108,"M")=1,DATEDIF(TODAY(),D108,"M")=0),1,0)</f>
        <v>0</v>
      </c>
      <c r="F108" s="22">
        <v>5</v>
      </c>
      <c r="G108" s="22">
        <v>14</v>
      </c>
      <c r="H108" s="21">
        <f>_xlfn.XLOOKUP("000421", Sheet1!$O$4:$O$115, Sheet1!$Q$4:$Q$115,0)</f>
        <v>0</v>
      </c>
      <c r="I108" s="8"/>
      <c r="J108" s="8"/>
      <c r="K108" s="22">
        <f>G108+H108-(I108+J108)</f>
        <v>14</v>
      </c>
      <c r="L108" s="8">
        <v>24</v>
      </c>
      <c r="M108" s="8">
        <v>12</v>
      </c>
      <c r="N108" s="9" t="s">
        <v>304</v>
      </c>
      <c r="O108" s="19">
        <v>0</v>
      </c>
      <c r="P108" t="s">
        <v>145</v>
      </c>
      <c r="Q108" s="20"/>
    </row>
    <row r="109" spans="1:17" x14ac:dyDescent="0.25">
      <c r="A109" s="17" t="s">
        <v>255</v>
      </c>
      <c r="B109" s="25" t="s">
        <v>84</v>
      </c>
      <c r="C109" s="24">
        <f>IF(AND($C$2*F109&gt;K109,G109+H109+I109+J109&lt;&gt;0),$C$2*F109-K109,0)</f>
        <v>0</v>
      </c>
      <c r="D109" s="27"/>
      <c r="E109" s="8"/>
      <c r="F109" s="22">
        <v>3</v>
      </c>
      <c r="G109" s="22">
        <v>4</v>
      </c>
      <c r="H109" s="21">
        <f>_xlfn.XLOOKUP("000423", Sheet1!$O$4:$O$115, Sheet1!$Q$4:$Q$115,0)</f>
        <v>2</v>
      </c>
      <c r="I109" s="8"/>
      <c r="J109" s="8"/>
      <c r="K109" s="22">
        <f>G109+H109-(I109+J109)</f>
        <v>6</v>
      </c>
      <c r="L109" s="8">
        <v>72</v>
      </c>
      <c r="M109" s="8">
        <v>20</v>
      </c>
      <c r="N109" s="9" t="s">
        <v>304</v>
      </c>
      <c r="O109" s="19">
        <v>0</v>
      </c>
      <c r="P109" t="s">
        <v>145</v>
      </c>
      <c r="Q109" s="20"/>
    </row>
    <row r="110" spans="1:17" x14ac:dyDescent="0.25">
      <c r="A110" s="17" t="s">
        <v>256</v>
      </c>
      <c r="B110" s="25" t="s">
        <v>85</v>
      </c>
      <c r="C110" s="24">
        <f>IF(AND($C$2*F110&gt;K110,G110+H110+I110+J110&lt;&gt;0),$C$2*F110-K110,0)</f>
        <v>0</v>
      </c>
      <c r="D110" s="27"/>
      <c r="E110" s="8"/>
      <c r="F110" s="22">
        <v>6</v>
      </c>
      <c r="G110" s="22">
        <v>9</v>
      </c>
      <c r="H110" s="21">
        <f>_xlfn.XLOOKUP("000426", Sheet1!$O$4:$O$115, Sheet1!$Q$4:$Q$115,0)</f>
        <v>0</v>
      </c>
      <c r="I110" s="8"/>
      <c r="J110" s="8"/>
      <c r="K110" s="22">
        <f>G110+H110-(I110+J110)</f>
        <v>9</v>
      </c>
      <c r="L110" s="8">
        <v>36</v>
      </c>
      <c r="M110" s="8">
        <v>35</v>
      </c>
      <c r="N110" s="9" t="s">
        <v>304</v>
      </c>
      <c r="O110" s="19">
        <v>0</v>
      </c>
      <c r="P110" t="s">
        <v>145</v>
      </c>
      <c r="Q110" s="20"/>
    </row>
    <row r="111" spans="1:17" x14ac:dyDescent="0.25">
      <c r="A111" s="17" t="s">
        <v>257</v>
      </c>
      <c r="B111" s="25" t="s">
        <v>86</v>
      </c>
      <c r="C111" s="24">
        <f>IF(AND($C$2*F111&gt;K111,G111+H111+I111+J111&lt;&gt;0),$C$2*F111-K111,0)</f>
        <v>0</v>
      </c>
      <c r="D111" s="27"/>
      <c r="E111" s="8"/>
      <c r="F111" s="22"/>
      <c r="G111" s="22"/>
      <c r="H111" s="21">
        <f>_xlfn.XLOOKUP("000430", Sheet1!$O$4:$O$115, Sheet1!$Q$4:$Q$115,0)</f>
        <v>0</v>
      </c>
      <c r="I111" s="8"/>
      <c r="J111" s="8"/>
      <c r="K111" s="22">
        <f>G111+H111-(I111+J111)</f>
        <v>0</v>
      </c>
      <c r="L111" s="8">
        <v>30</v>
      </c>
      <c r="M111" s="8">
        <v>20</v>
      </c>
      <c r="N111" s="9" t="s">
        <v>335</v>
      </c>
      <c r="O111" s="19">
        <v>0</v>
      </c>
      <c r="P111" t="s">
        <v>145</v>
      </c>
      <c r="Q111" s="20"/>
    </row>
    <row r="112" spans="1:17" x14ac:dyDescent="0.25">
      <c r="A112" s="17" t="s">
        <v>258</v>
      </c>
      <c r="B112" s="25" t="s">
        <v>87</v>
      </c>
      <c r="C112" s="24">
        <f>IF(AND($C$2*F112&gt;K112,G112+H112+I112+J112&lt;&gt;0),$C$2*F112-K112,0)</f>
        <v>0</v>
      </c>
      <c r="D112" s="27"/>
      <c r="E112" s="8"/>
      <c r="F112" s="22"/>
      <c r="G112" s="22"/>
      <c r="H112" s="21">
        <f>_xlfn.XLOOKUP("000437", Sheet1!$O$4:$O$115, Sheet1!$Q$4:$Q$115,0)</f>
        <v>0</v>
      </c>
      <c r="I112" s="8"/>
      <c r="J112" s="8"/>
      <c r="K112" s="22">
        <f>G112+H112-(I112+J112)</f>
        <v>0</v>
      </c>
      <c r="L112" s="8"/>
      <c r="M112" s="8"/>
      <c r="N112" s="9" t="s">
        <v>336</v>
      </c>
      <c r="O112" s="19">
        <v>0</v>
      </c>
      <c r="P112" t="s">
        <v>145</v>
      </c>
      <c r="Q112" s="20"/>
    </row>
    <row r="113" spans="1:17" x14ac:dyDescent="0.25">
      <c r="A113" s="17" t="s">
        <v>259</v>
      </c>
      <c r="B113" s="25" t="s">
        <v>88</v>
      </c>
      <c r="C113" s="24">
        <f>IF(AND($C$2*F113&gt;K113,G113+H113+I113+J113&lt;&gt;0),$C$2*F113-K113,0)</f>
        <v>0</v>
      </c>
      <c r="D113" s="27">
        <v>46992</v>
      </c>
      <c r="E113" s="8">
        <f ca="1">IF(OR(DATEDIF(TODAY(),D113,"M")=1,DATEDIF(TODAY(),D113,"M")=0),1,0)</f>
        <v>0</v>
      </c>
      <c r="F113" s="22">
        <v>10</v>
      </c>
      <c r="G113" s="22">
        <v>51</v>
      </c>
      <c r="H113" s="21">
        <f>_xlfn.XLOOKUP("000439", Sheet1!$O$4:$O$115, Sheet1!$Q$4:$Q$115,0)</f>
        <v>0</v>
      </c>
      <c r="I113" s="8"/>
      <c r="J113" s="8"/>
      <c r="K113" s="22">
        <f>G113+H113-(I113+J113)</f>
        <v>51</v>
      </c>
      <c r="L113" s="8">
        <v>24</v>
      </c>
      <c r="M113" s="8">
        <v>24</v>
      </c>
      <c r="N113" s="9" t="s">
        <v>332</v>
      </c>
      <c r="O113" s="19">
        <v>0</v>
      </c>
      <c r="P113" t="s">
        <v>145</v>
      </c>
      <c r="Q113" s="20"/>
    </row>
    <row r="114" spans="1:17" x14ac:dyDescent="0.25">
      <c r="A114" s="17" t="s">
        <v>260</v>
      </c>
      <c r="B114" s="25" t="s">
        <v>89</v>
      </c>
      <c r="C114" s="24">
        <f>IF(AND($C$2*F114&gt;K114,G114+H114+I114+J114&lt;&gt;0),$C$2*F114-K114,0)</f>
        <v>0</v>
      </c>
      <c r="D114" s="27"/>
      <c r="E114" s="8"/>
      <c r="F114" s="22"/>
      <c r="G114" s="8"/>
      <c r="H114" s="21">
        <f>_xlfn.XLOOKUP("000440", Sheet1!$O$4:$O$115, Sheet1!$Q$4:$Q$115,0)</f>
        <v>0</v>
      </c>
      <c r="I114" s="8"/>
      <c r="J114" s="8"/>
      <c r="K114" s="22">
        <f>G114+H114-(I114+J114)</f>
        <v>0</v>
      </c>
      <c r="L114" s="8"/>
      <c r="M114" s="8"/>
      <c r="N114" s="9" t="s">
        <v>336</v>
      </c>
      <c r="O114" s="19">
        <v>0</v>
      </c>
      <c r="P114" t="s">
        <v>145</v>
      </c>
      <c r="Q114" s="20"/>
    </row>
    <row r="115" spans="1:17" x14ac:dyDescent="0.25">
      <c r="A115" s="18" t="s">
        <v>261</v>
      </c>
      <c r="B115" s="44" t="s">
        <v>90</v>
      </c>
      <c r="C115" s="24">
        <f>IF(AND($C$2*F115&gt;K115,G115+H115+I115+J115&lt;&gt;0),$C$2*F115-K115,0)</f>
        <v>0</v>
      </c>
      <c r="D115" s="28"/>
      <c r="E115" s="8"/>
      <c r="F115" s="23"/>
      <c r="G115" s="11"/>
      <c r="H115" s="21">
        <f>_xlfn.XLOOKUP("000442", Sheet1!$O$4:$O$115, Sheet1!$Q$4:$Q$115,0)</f>
        <v>0</v>
      </c>
      <c r="I115" s="11"/>
      <c r="J115" s="11"/>
      <c r="K115" s="23">
        <f>G115+H115-(I115+J115)</f>
        <v>0</v>
      </c>
      <c r="L115" s="11"/>
      <c r="M115" s="11"/>
      <c r="N115" s="12" t="s">
        <v>336</v>
      </c>
      <c r="O115" s="19">
        <v>0</v>
      </c>
      <c r="P115" t="s">
        <v>145</v>
      </c>
      <c r="Q115" s="20"/>
    </row>
    <row r="117" spans="1:17" x14ac:dyDescent="0.25">
      <c r="A117" s="31"/>
      <c r="B117" s="2" t="s">
        <v>143</v>
      </c>
      <c r="C117" s="32"/>
      <c r="D117" s="33"/>
      <c r="E117" s="34"/>
      <c r="F117" s="35"/>
      <c r="G117" s="34"/>
      <c r="H117" s="34"/>
      <c r="I117" s="33"/>
      <c r="J117" s="34"/>
      <c r="K117" s="34"/>
      <c r="L117" s="36"/>
    </row>
    <row r="118" spans="1:17" ht="18.75" x14ac:dyDescent="0.3">
      <c r="A118" s="31"/>
      <c r="B118" t="s">
        <v>267</v>
      </c>
      <c r="C118" s="24">
        <f>IF(AND($C$2*F118&gt;K118,G118+H118+J118&lt;&gt;0),$C$2*F118-K18,0)</f>
        <v>0</v>
      </c>
      <c r="D118" s="22"/>
      <c r="E118" s="8"/>
      <c r="F118" s="22">
        <v>3</v>
      </c>
      <c r="G118" s="8">
        <v>6</v>
      </c>
      <c r="H118" s="8"/>
      <c r="I118" s="22"/>
      <c r="J118" s="8"/>
      <c r="K118" s="38">
        <f>G118+H118-J118</f>
        <v>6</v>
      </c>
      <c r="L118" s="37">
        <v>6</v>
      </c>
      <c r="M118" s="37"/>
      <c r="N118" s="37" t="s">
        <v>94</v>
      </c>
      <c r="P118" s="42" t="s">
        <v>360</v>
      </c>
    </row>
    <row r="119" spans="1:17" ht="18.75" x14ac:dyDescent="0.3">
      <c r="A119" s="31"/>
      <c r="B119" t="s">
        <v>91</v>
      </c>
      <c r="C119" s="24">
        <v>3</v>
      </c>
      <c r="D119" s="22"/>
      <c r="E119" s="8"/>
      <c r="F119" s="22">
        <v>3</v>
      </c>
      <c r="G119" s="8">
        <v>5</v>
      </c>
      <c r="H119" s="8"/>
      <c r="I119" s="22"/>
      <c r="J119" s="8"/>
      <c r="K119" s="38">
        <f t="shared" ref="K119:K128" si="0">G119+H119-J119</f>
        <v>5</v>
      </c>
      <c r="L119" s="37"/>
      <c r="M119" s="37"/>
      <c r="N119" s="37"/>
      <c r="P119" s="42" t="s">
        <v>361</v>
      </c>
    </row>
    <row r="120" spans="1:17" x14ac:dyDescent="0.25">
      <c r="A120" s="31"/>
      <c r="B120" t="s">
        <v>98</v>
      </c>
      <c r="C120" s="24">
        <f t="shared" ref="C120:C128" si="1">IF(AND($C$2*F120&gt;K120,G120+H120+J120&lt;&gt;0),$C$2*F120-K20,0)</f>
        <v>0</v>
      </c>
      <c r="D120" s="22"/>
      <c r="E120" s="8"/>
      <c r="F120" s="22">
        <v>5</v>
      </c>
      <c r="G120" s="8">
        <v>8</v>
      </c>
      <c r="H120" s="8"/>
      <c r="I120" s="22"/>
      <c r="J120" s="8"/>
      <c r="K120" s="38">
        <f t="shared" si="0"/>
        <v>8</v>
      </c>
      <c r="L120" s="37"/>
      <c r="M120" s="37"/>
      <c r="N120" s="37"/>
    </row>
    <row r="121" spans="1:17" x14ac:dyDescent="0.25">
      <c r="A121" s="31"/>
      <c r="B121" t="s">
        <v>97</v>
      </c>
      <c r="C121" s="24">
        <f t="shared" si="1"/>
        <v>0</v>
      </c>
      <c r="D121" s="22"/>
      <c r="E121" s="8"/>
      <c r="F121" s="22">
        <v>4</v>
      </c>
      <c r="G121" s="8">
        <v>7</v>
      </c>
      <c r="H121" s="8"/>
      <c r="I121" s="22"/>
      <c r="J121" s="8"/>
      <c r="K121" s="38">
        <f t="shared" si="0"/>
        <v>7</v>
      </c>
      <c r="L121" s="37"/>
      <c r="M121" s="37">
        <v>8</v>
      </c>
      <c r="N121" s="37" t="s">
        <v>94</v>
      </c>
    </row>
    <row r="122" spans="1:17" x14ac:dyDescent="0.25">
      <c r="A122" s="31"/>
      <c r="B122" t="s">
        <v>268</v>
      </c>
      <c r="C122" s="24">
        <f t="shared" si="1"/>
        <v>11</v>
      </c>
      <c r="D122" s="22"/>
      <c r="E122" s="8"/>
      <c r="F122" s="22">
        <v>4</v>
      </c>
      <c r="G122" s="8">
        <v>3</v>
      </c>
      <c r="H122" s="8"/>
      <c r="I122" s="22"/>
      <c r="J122" s="8"/>
      <c r="K122" s="38">
        <f t="shared" si="0"/>
        <v>3</v>
      </c>
      <c r="L122" s="37">
        <v>10</v>
      </c>
      <c r="M122" s="37"/>
      <c r="N122" s="37"/>
    </row>
    <row r="123" spans="1:17" x14ac:dyDescent="0.25">
      <c r="A123" s="31"/>
      <c r="B123" t="s">
        <v>269</v>
      </c>
      <c r="C123" s="24">
        <f t="shared" si="1"/>
        <v>4</v>
      </c>
      <c r="D123" s="22"/>
      <c r="E123" s="8"/>
      <c r="F123" s="22">
        <v>4</v>
      </c>
      <c r="G123" s="8">
        <v>2</v>
      </c>
      <c r="H123" s="8"/>
      <c r="I123" s="22"/>
      <c r="J123" s="8"/>
      <c r="K123" s="38">
        <f t="shared" si="0"/>
        <v>2</v>
      </c>
      <c r="L123" s="37">
        <v>10</v>
      </c>
      <c r="M123" s="37"/>
      <c r="N123" s="37"/>
    </row>
    <row r="124" spans="1:17" x14ac:dyDescent="0.25">
      <c r="A124" s="31"/>
      <c r="B124" t="s">
        <v>270</v>
      </c>
      <c r="C124" s="24">
        <f t="shared" si="1"/>
        <v>-50</v>
      </c>
      <c r="D124" s="22"/>
      <c r="E124" s="8"/>
      <c r="F124" s="22">
        <v>4</v>
      </c>
      <c r="G124" s="8">
        <v>2</v>
      </c>
      <c r="H124" s="8"/>
      <c r="I124" s="22"/>
      <c r="J124" s="8"/>
      <c r="K124" s="38">
        <f t="shared" si="0"/>
        <v>2</v>
      </c>
      <c r="L124" s="37">
        <v>10</v>
      </c>
      <c r="M124" s="37"/>
      <c r="N124" s="37"/>
    </row>
    <row r="125" spans="1:17" ht="18.75" x14ac:dyDescent="0.3">
      <c r="A125" s="31"/>
      <c r="B125" t="s">
        <v>271</v>
      </c>
      <c r="C125" s="24">
        <f t="shared" si="1"/>
        <v>-46</v>
      </c>
      <c r="D125" s="41">
        <v>1</v>
      </c>
      <c r="E125" s="8"/>
      <c r="F125" s="22">
        <v>4</v>
      </c>
      <c r="G125" s="8">
        <v>0.5</v>
      </c>
      <c r="H125" s="8"/>
      <c r="I125" s="22"/>
      <c r="J125" s="8"/>
      <c r="K125" s="38">
        <f t="shared" si="0"/>
        <v>0.5</v>
      </c>
      <c r="L125" s="37">
        <v>10</v>
      </c>
      <c r="M125" s="37"/>
      <c r="N125" s="37"/>
    </row>
    <row r="126" spans="1:17" x14ac:dyDescent="0.25">
      <c r="B126" t="s">
        <v>95</v>
      </c>
      <c r="C126" s="24">
        <v>3</v>
      </c>
      <c r="D126" s="22"/>
      <c r="E126" s="8"/>
      <c r="F126" s="22">
        <v>4</v>
      </c>
      <c r="G126" s="8">
        <v>6</v>
      </c>
      <c r="H126" s="8"/>
      <c r="I126" s="22"/>
      <c r="J126" s="8"/>
      <c r="K126" s="38">
        <f t="shared" si="0"/>
        <v>6</v>
      </c>
      <c r="L126" s="37"/>
      <c r="M126" s="37"/>
      <c r="N126" s="37"/>
    </row>
    <row r="127" spans="1:17" x14ac:dyDescent="0.25">
      <c r="B127" t="s">
        <v>96</v>
      </c>
      <c r="C127" s="24">
        <v>1</v>
      </c>
      <c r="D127" s="22"/>
      <c r="E127" s="8"/>
      <c r="F127" s="22">
        <v>2</v>
      </c>
      <c r="G127" s="8">
        <v>1</v>
      </c>
      <c r="H127" s="8"/>
      <c r="I127" s="22"/>
      <c r="J127" s="8"/>
      <c r="K127" s="38">
        <f t="shared" si="0"/>
        <v>1</v>
      </c>
      <c r="L127" s="37"/>
      <c r="M127" s="37"/>
      <c r="N127" s="37" t="s">
        <v>272</v>
      </c>
    </row>
    <row r="128" spans="1:17" x14ac:dyDescent="0.25">
      <c r="B128" t="s">
        <v>144</v>
      </c>
      <c r="C128" s="24">
        <f t="shared" si="1"/>
        <v>0</v>
      </c>
      <c r="D128" s="22"/>
      <c r="E128" s="8"/>
      <c r="F128" s="22">
        <v>1</v>
      </c>
      <c r="G128" s="8">
        <v>3</v>
      </c>
      <c r="H128" s="8"/>
      <c r="I128" s="22"/>
      <c r="J128" s="8"/>
      <c r="K128" s="38">
        <f t="shared" si="0"/>
        <v>3</v>
      </c>
      <c r="L128" s="37"/>
      <c r="M128" s="37"/>
      <c r="N128" s="37" t="s">
        <v>273</v>
      </c>
    </row>
    <row r="132" spans="4:11" x14ac:dyDescent="0.25">
      <c r="D132" s="2" t="s">
        <v>93</v>
      </c>
      <c r="K132" s="2"/>
    </row>
    <row r="133" spans="4:11" x14ac:dyDescent="0.25">
      <c r="D133" t="s">
        <v>274</v>
      </c>
      <c r="K133" s="2"/>
    </row>
    <row r="134" spans="4:11" x14ac:dyDescent="0.25">
      <c r="D134" t="s">
        <v>275</v>
      </c>
      <c r="K134" s="2"/>
    </row>
    <row r="135" spans="4:11" x14ac:dyDescent="0.25">
      <c r="D135" t="s">
        <v>276</v>
      </c>
    </row>
    <row r="136" spans="4:11" x14ac:dyDescent="0.25">
      <c r="D136" t="s">
        <v>277</v>
      </c>
    </row>
    <row r="137" spans="4:11" x14ac:dyDescent="0.25">
      <c r="D137" t="s">
        <v>138</v>
      </c>
    </row>
    <row r="138" spans="4:11" x14ac:dyDescent="0.25">
      <c r="D138" t="s">
        <v>107</v>
      </c>
    </row>
    <row r="139" spans="4:11" x14ac:dyDescent="0.25">
      <c r="D139" t="s">
        <v>278</v>
      </c>
    </row>
    <row r="140" spans="4:11" x14ac:dyDescent="0.25">
      <c r="D140" t="s">
        <v>279</v>
      </c>
    </row>
    <row r="141" spans="4:11" x14ac:dyDescent="0.25">
      <c r="D141" t="s">
        <v>139</v>
      </c>
    </row>
    <row r="142" spans="4:11" x14ac:dyDescent="0.25">
      <c r="D142" t="s">
        <v>137</v>
      </c>
    </row>
    <row r="143" spans="4:11" x14ac:dyDescent="0.25">
      <c r="D143" t="s">
        <v>280</v>
      </c>
    </row>
    <row r="144" spans="4:11" x14ac:dyDescent="0.25">
      <c r="D144" t="s">
        <v>281</v>
      </c>
    </row>
    <row r="145" spans="4:11" x14ac:dyDescent="0.25">
      <c r="D145" t="s">
        <v>282</v>
      </c>
    </row>
    <row r="146" spans="4:11" x14ac:dyDescent="0.25">
      <c r="D146" t="s">
        <v>283</v>
      </c>
    </row>
    <row r="147" spans="4:11" x14ac:dyDescent="0.25">
      <c r="D147" t="s">
        <v>284</v>
      </c>
    </row>
    <row r="148" spans="4:11" x14ac:dyDescent="0.25">
      <c r="D148" t="s">
        <v>140</v>
      </c>
      <c r="K148" s="3"/>
    </row>
    <row r="150" spans="4:11" x14ac:dyDescent="0.25">
      <c r="D150" s="2" t="s">
        <v>101</v>
      </c>
    </row>
    <row r="151" spans="4:11" x14ac:dyDescent="0.25">
      <c r="D151" t="s">
        <v>102</v>
      </c>
    </row>
    <row r="152" spans="4:11" x14ac:dyDescent="0.25">
      <c r="D152" t="s">
        <v>103</v>
      </c>
    </row>
    <row r="153" spans="4:11" x14ac:dyDescent="0.25">
      <c r="D153" t="s">
        <v>105</v>
      </c>
    </row>
    <row r="154" spans="4:11" x14ac:dyDescent="0.25">
      <c r="D154" t="s">
        <v>285</v>
      </c>
    </row>
    <row r="155" spans="4:11" x14ac:dyDescent="0.25">
      <c r="D155" t="s">
        <v>106</v>
      </c>
    </row>
    <row r="156" spans="4:11" x14ac:dyDescent="0.25">
      <c r="D156" t="s">
        <v>104</v>
      </c>
    </row>
    <row r="157" spans="4:11" x14ac:dyDescent="0.25">
      <c r="D157" t="s">
        <v>108</v>
      </c>
    </row>
    <row r="158" spans="4:11" x14ac:dyDescent="0.25">
      <c r="D158" t="s">
        <v>286</v>
      </c>
    </row>
    <row r="159" spans="4:11" x14ac:dyDescent="0.25">
      <c r="D159" t="s">
        <v>287</v>
      </c>
    </row>
    <row r="160" spans="4:11" x14ac:dyDescent="0.25">
      <c r="D160" t="s">
        <v>288</v>
      </c>
    </row>
    <row r="161" spans="4:4" x14ac:dyDescent="0.25">
      <c r="D161" t="s">
        <v>289</v>
      </c>
    </row>
    <row r="162" spans="4:4" x14ac:dyDescent="0.25">
      <c r="D162" t="s">
        <v>290</v>
      </c>
    </row>
    <row r="163" spans="4:4" x14ac:dyDescent="0.25">
      <c r="D163" t="s">
        <v>141</v>
      </c>
    </row>
    <row r="164" spans="4:4" x14ac:dyDescent="0.25">
      <c r="D164" s="15" t="s">
        <v>142</v>
      </c>
    </row>
    <row r="165" spans="4:4" x14ac:dyDescent="0.25">
      <c r="D165" t="s">
        <v>110</v>
      </c>
    </row>
    <row r="166" spans="4:4" x14ac:dyDescent="0.25">
      <c r="D166" t="s">
        <v>111</v>
      </c>
    </row>
    <row r="167" spans="4:4" x14ac:dyDescent="0.25">
      <c r="D167" t="s">
        <v>291</v>
      </c>
    </row>
    <row r="168" spans="4:4" x14ac:dyDescent="0.25">
      <c r="D168" t="s">
        <v>292</v>
      </c>
    </row>
    <row r="169" spans="4:4" x14ac:dyDescent="0.25">
      <c r="D169" t="s">
        <v>293</v>
      </c>
    </row>
    <row r="170" spans="4:4" x14ac:dyDescent="0.25">
      <c r="D170" t="s">
        <v>146</v>
      </c>
    </row>
    <row r="171" spans="4:4" x14ac:dyDescent="0.25">
      <c r="D171" t="s">
        <v>147</v>
      </c>
    </row>
    <row r="172" spans="4:4" x14ac:dyDescent="0.25">
      <c r="D172" t="s">
        <v>149</v>
      </c>
    </row>
    <row r="173" spans="4:4" x14ac:dyDescent="0.25">
      <c r="D173" s="16" t="s">
        <v>148</v>
      </c>
    </row>
  </sheetData>
  <phoneticPr fontId="7" type="noConversion"/>
  <conditionalFormatting sqref="E4:E115">
    <cfRule type="cellIs" dxfId="0" priority="1" operator="equal">
      <formula>1</formula>
    </cfRule>
  </conditionalFormatting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Laurie Cannon</cp:lastModifiedBy>
  <cp:lastPrinted>2026-04-29T19:41:46Z</cp:lastPrinted>
  <dcterms:created xsi:type="dcterms:W3CDTF">2026-02-02T06:49:59Z</dcterms:created>
  <dcterms:modified xsi:type="dcterms:W3CDTF">2026-05-02T18:46:16Z</dcterms:modified>
</cp:coreProperties>
</file>