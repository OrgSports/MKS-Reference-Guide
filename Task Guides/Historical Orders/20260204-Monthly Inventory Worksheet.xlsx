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MKS\Admin\Documents\Task Guides\"/>
    </mc:Choice>
  </mc:AlternateContent>
  <xr:revisionPtr revIDLastSave="0" documentId="13_ncr:1_{5F0D0C6B-4827-4333-B604-71CCE979997D}" xr6:coauthVersionLast="47" xr6:coauthVersionMax="47" xr10:uidLastSave="{00000000-0000-0000-0000-000000000000}"/>
  <bookViews>
    <workbookView xWindow="-120" yWindow="-120" windowWidth="29040" windowHeight="15720" xr2:uid="{5B996AA9-3AA9-4F95-B378-855EC838766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C4" i="1" s="1"/>
  <c r="F1" i="1"/>
  <c r="I83" i="1"/>
  <c r="C83" i="1" s="1"/>
  <c r="I115" i="1"/>
  <c r="C115" i="1" s="1"/>
  <c r="I114" i="1"/>
  <c r="C114" i="1" s="1"/>
  <c r="I113" i="1"/>
  <c r="C113" i="1" s="1"/>
  <c r="I112" i="1"/>
  <c r="C112" i="1" s="1"/>
  <c r="I111" i="1"/>
  <c r="C111" i="1" s="1"/>
  <c r="I110" i="1"/>
  <c r="C110" i="1" s="1"/>
  <c r="I109" i="1"/>
  <c r="C109" i="1" s="1"/>
  <c r="I108" i="1"/>
  <c r="C108" i="1" s="1"/>
  <c r="I107" i="1"/>
  <c r="C107" i="1" s="1"/>
  <c r="I106" i="1"/>
  <c r="C106" i="1" s="1"/>
  <c r="I105" i="1"/>
  <c r="C105" i="1" s="1"/>
  <c r="I104" i="1"/>
  <c r="C104" i="1" s="1"/>
  <c r="I103" i="1"/>
  <c r="C103" i="1" s="1"/>
  <c r="I102" i="1"/>
  <c r="C102" i="1" s="1"/>
  <c r="I101" i="1"/>
  <c r="C101" i="1" s="1"/>
  <c r="I100" i="1"/>
  <c r="C100" i="1" s="1"/>
  <c r="I99" i="1"/>
  <c r="C99" i="1" s="1"/>
  <c r="I98" i="1"/>
  <c r="C98" i="1" s="1"/>
  <c r="I97" i="1"/>
  <c r="C97" i="1" s="1"/>
  <c r="I96" i="1"/>
  <c r="C96" i="1" s="1"/>
  <c r="I95" i="1"/>
  <c r="C95" i="1" s="1"/>
  <c r="I94" i="1"/>
  <c r="C94" i="1" s="1"/>
  <c r="I93" i="1"/>
  <c r="C93" i="1" s="1"/>
  <c r="I92" i="1"/>
  <c r="C92" i="1" s="1"/>
  <c r="I91" i="1"/>
  <c r="C91" i="1" s="1"/>
  <c r="I90" i="1"/>
  <c r="I89" i="1"/>
  <c r="C89" i="1" s="1"/>
  <c r="I88" i="1"/>
  <c r="C88" i="1" s="1"/>
  <c r="I87" i="1"/>
  <c r="C87" i="1" s="1"/>
  <c r="I86" i="1"/>
  <c r="C86" i="1" s="1"/>
  <c r="I85" i="1"/>
  <c r="C85" i="1" s="1"/>
  <c r="I84" i="1"/>
  <c r="C84" i="1" s="1"/>
  <c r="I82" i="1"/>
  <c r="C82" i="1" s="1"/>
  <c r="I81" i="1"/>
  <c r="C81" i="1" s="1"/>
  <c r="I80" i="1"/>
  <c r="C80" i="1" s="1"/>
  <c r="I79" i="1"/>
  <c r="C79" i="1" s="1"/>
  <c r="I78" i="1"/>
  <c r="C78" i="1" s="1"/>
  <c r="I77" i="1"/>
  <c r="C77" i="1" s="1"/>
  <c r="I76" i="1"/>
  <c r="C76" i="1" s="1"/>
  <c r="I75" i="1"/>
  <c r="C75" i="1" s="1"/>
  <c r="I74" i="1"/>
  <c r="C74" i="1" s="1"/>
  <c r="I73" i="1"/>
  <c r="C73" i="1" s="1"/>
  <c r="I72" i="1"/>
  <c r="C72" i="1" s="1"/>
  <c r="I71" i="1"/>
  <c r="C71" i="1" s="1"/>
  <c r="I70" i="1"/>
  <c r="C70" i="1" s="1"/>
  <c r="I69" i="1"/>
  <c r="C69" i="1" s="1"/>
  <c r="I68" i="1"/>
  <c r="C68" i="1" s="1"/>
  <c r="I67" i="1"/>
  <c r="C67" i="1" s="1"/>
  <c r="I66" i="1"/>
  <c r="C66" i="1" s="1"/>
  <c r="I65" i="1"/>
  <c r="C65" i="1" s="1"/>
  <c r="I64" i="1"/>
  <c r="C64" i="1" s="1"/>
  <c r="I63" i="1"/>
  <c r="C63" i="1" s="1"/>
  <c r="I62" i="1"/>
  <c r="C62" i="1" s="1"/>
  <c r="I61" i="1"/>
  <c r="I60" i="1"/>
  <c r="C60" i="1" s="1"/>
  <c r="I59" i="1"/>
  <c r="C59" i="1" s="1"/>
  <c r="I58" i="1"/>
  <c r="C58" i="1" s="1"/>
  <c r="I57" i="1"/>
  <c r="C57" i="1" s="1"/>
  <c r="I56" i="1"/>
  <c r="C56" i="1" s="1"/>
  <c r="I55" i="1"/>
  <c r="C55" i="1" s="1"/>
  <c r="I54" i="1"/>
  <c r="C54" i="1" s="1"/>
  <c r="I53" i="1"/>
  <c r="C53" i="1" s="1"/>
  <c r="I52" i="1"/>
  <c r="C52" i="1" s="1"/>
  <c r="I51" i="1"/>
  <c r="C51" i="1" s="1"/>
  <c r="I50" i="1"/>
  <c r="C50" i="1" s="1"/>
  <c r="I49" i="1"/>
  <c r="C49" i="1" s="1"/>
  <c r="I47" i="1"/>
  <c r="C47" i="1" s="1"/>
  <c r="I46" i="1"/>
  <c r="C46" i="1" s="1"/>
  <c r="I45" i="1"/>
  <c r="C45" i="1" s="1"/>
  <c r="I44" i="1"/>
  <c r="C44" i="1" s="1"/>
  <c r="I43" i="1"/>
  <c r="C43" i="1" s="1"/>
  <c r="I42" i="1"/>
  <c r="C42" i="1" s="1"/>
  <c r="I41" i="1"/>
  <c r="I40" i="1"/>
  <c r="C40" i="1" s="1"/>
  <c r="I39" i="1"/>
  <c r="C39" i="1" s="1"/>
  <c r="I38" i="1"/>
  <c r="C38" i="1" s="1"/>
  <c r="I37" i="1"/>
  <c r="C37" i="1" s="1"/>
  <c r="I36" i="1"/>
  <c r="C36" i="1" s="1"/>
  <c r="I35" i="1"/>
  <c r="C35" i="1" s="1"/>
  <c r="I34" i="1"/>
  <c r="C34" i="1" s="1"/>
  <c r="I33" i="1"/>
  <c r="C33" i="1" s="1"/>
  <c r="I32" i="1"/>
  <c r="C32" i="1" s="1"/>
  <c r="I31" i="1"/>
  <c r="C31" i="1" s="1"/>
  <c r="I30" i="1"/>
  <c r="C30" i="1" s="1"/>
  <c r="I29" i="1"/>
  <c r="C29" i="1" s="1"/>
  <c r="I28" i="1"/>
  <c r="C28" i="1" s="1"/>
  <c r="I27" i="1"/>
  <c r="C27" i="1" s="1"/>
  <c r="I26" i="1"/>
  <c r="C26" i="1" s="1"/>
  <c r="I25" i="1"/>
  <c r="C25" i="1" s="1"/>
  <c r="I24" i="1"/>
  <c r="C24" i="1" s="1"/>
  <c r="I23" i="1"/>
  <c r="C23" i="1" s="1"/>
  <c r="I22" i="1"/>
  <c r="C22" i="1" s="1"/>
  <c r="I21" i="1"/>
  <c r="C21" i="1" s="1"/>
  <c r="I20" i="1"/>
  <c r="C20" i="1" s="1"/>
  <c r="I19" i="1"/>
  <c r="C19" i="1" s="1"/>
  <c r="I17" i="1"/>
  <c r="C17" i="1" s="1"/>
  <c r="I16" i="1"/>
  <c r="C16" i="1" s="1"/>
  <c r="I15" i="1"/>
  <c r="C15" i="1" s="1"/>
  <c r="I14" i="1"/>
  <c r="C14" i="1" s="1"/>
  <c r="I13" i="1"/>
  <c r="C13" i="1" s="1"/>
  <c r="I12" i="1"/>
  <c r="C12" i="1" s="1"/>
  <c r="I10" i="1"/>
  <c r="C10" i="1" s="1"/>
  <c r="I9" i="1"/>
  <c r="C9" i="1" s="1"/>
  <c r="I8" i="1"/>
  <c r="C8" i="1" s="1"/>
  <c r="I7" i="1"/>
  <c r="C7" i="1" s="1"/>
  <c r="I6" i="1"/>
  <c r="C6" i="1" s="1"/>
  <c r="I5" i="1"/>
  <c r="C5" i="1" s="1"/>
  <c r="H48" i="1"/>
  <c r="I48" i="1" s="1"/>
  <c r="C48" i="1" s="1"/>
  <c r="H18" i="1"/>
  <c r="I18" i="1" s="1"/>
  <c r="C18" i="1" s="1"/>
  <c r="H11" i="1"/>
  <c r="I11" i="1" s="1"/>
  <c r="C11" i="1" s="1"/>
</calcChain>
</file>

<file path=xl/sharedStrings.xml><?xml version="1.0" encoding="utf-8"?>
<sst xmlns="http://schemas.openxmlformats.org/spreadsheetml/2006/main" count="263" uniqueCount="180">
  <si>
    <t>Description</t>
  </si>
  <si>
    <t>Mukilteo Bishops' Storehouse</t>
  </si>
  <si>
    <t>Monthly Inventory Worksheet</t>
  </si>
  <si>
    <t>Freezer</t>
  </si>
  <si>
    <t>Turkey Whole</t>
  </si>
  <si>
    <t>Fully Cooked Beef</t>
  </si>
  <si>
    <t>Beef Stew</t>
  </si>
  <si>
    <t>Chili</t>
  </si>
  <si>
    <t>Pork n Beans</t>
  </si>
  <si>
    <t>Black Beans</t>
  </si>
  <si>
    <t>Canned Pinto Beans</t>
  </si>
  <si>
    <t>Great Northern White Beans</t>
  </si>
  <si>
    <t>Tuna Fish</t>
  </si>
  <si>
    <t>Chicken Breast Pieces</t>
  </si>
  <si>
    <t>Corn</t>
  </si>
  <si>
    <t>Green Beans</t>
  </si>
  <si>
    <t>Instant Potatoes</t>
  </si>
  <si>
    <t>Diced Tomatoes</t>
  </si>
  <si>
    <t>Tomato Sauce</t>
  </si>
  <si>
    <t>Chicken w/ Rotini Soup</t>
  </si>
  <si>
    <t>Cream of Chicken Soup</t>
  </si>
  <si>
    <t>Tomato Soup</t>
  </si>
  <si>
    <t>Cream of Mushroom Soup</t>
  </si>
  <si>
    <t>Cream of Mushroom Soup (N)</t>
  </si>
  <si>
    <t>Cream of Chicken Soup (N)</t>
  </si>
  <si>
    <t>Applesauce</t>
  </si>
  <si>
    <t>Peaches</t>
  </si>
  <si>
    <t>Pears</t>
  </si>
  <si>
    <t>Raspberry Jam</t>
  </si>
  <si>
    <t>Strawberry Jam</t>
  </si>
  <si>
    <t>Spaghetti Sauce</t>
  </si>
  <si>
    <t>Salsa</t>
  </si>
  <si>
    <t>Ketchup</t>
  </si>
  <si>
    <t>Honey</t>
  </si>
  <si>
    <t>Canned Milk</t>
  </si>
  <si>
    <t>Peanut Butter</t>
  </si>
  <si>
    <t>Baking Powder</t>
  </si>
  <si>
    <t>Baking Soda</t>
  </si>
  <si>
    <t>Cinnamon</t>
  </si>
  <si>
    <t>Vanilla Pudding</t>
  </si>
  <si>
    <t>Chocolate Pudding</t>
  </si>
  <si>
    <t>Strawberry Gelatin</t>
  </si>
  <si>
    <t>Pancake Syrup</t>
  </si>
  <si>
    <t>Black Pepper</t>
  </si>
  <si>
    <t>Raisins</t>
  </si>
  <si>
    <t>Mustard</t>
  </si>
  <si>
    <t>Mayo</t>
  </si>
  <si>
    <t>Ranch Dressing</t>
  </si>
  <si>
    <t>Salt Iodized</t>
  </si>
  <si>
    <t>Vegetable Oil (Canola)</t>
  </si>
  <si>
    <t>Brown Sugar</t>
  </si>
  <si>
    <t>Sugar</t>
  </si>
  <si>
    <t>Powdered Sugar</t>
  </si>
  <si>
    <t>Vanilla Extract</t>
  </si>
  <si>
    <t>Yeast</t>
  </si>
  <si>
    <t>Baby Cereal</t>
  </si>
  <si>
    <t>Baby Formula</t>
  </si>
  <si>
    <t>Pinto Beans</t>
  </si>
  <si>
    <t>Refried Beans</t>
  </si>
  <si>
    <t>Pancake Mix</t>
  </si>
  <si>
    <t>Chocolate Cake Mix</t>
  </si>
  <si>
    <t>Yellow Cake Mix</t>
  </si>
  <si>
    <t>White Flour</t>
  </si>
  <si>
    <t>White Flour 5lb</t>
  </si>
  <si>
    <t>Scooters</t>
  </si>
  <si>
    <t>Macaroni</t>
  </si>
  <si>
    <t>Macaroni &amp; Cheese</t>
  </si>
  <si>
    <t>Raisin Bran</t>
  </si>
  <si>
    <t>Ribbon Pasta</t>
  </si>
  <si>
    <t>White Rice</t>
  </si>
  <si>
    <t>Rolled Oats</t>
  </si>
  <si>
    <t xml:space="preserve">Spaghetti </t>
  </si>
  <si>
    <t>Dry Milk</t>
  </si>
  <si>
    <t>Hot Cocoa</t>
  </si>
  <si>
    <t>Butter</t>
  </si>
  <si>
    <t>Cheese</t>
  </si>
  <si>
    <t>Ground Beef</t>
  </si>
  <si>
    <t>Beef Stewing</t>
  </si>
  <si>
    <t>Beef Roast</t>
  </si>
  <si>
    <t>Ham</t>
  </si>
  <si>
    <t>Pork Roast</t>
  </si>
  <si>
    <t>Pork Sausage</t>
  </si>
  <si>
    <t>Chicken</t>
  </si>
  <si>
    <t>Franks</t>
  </si>
  <si>
    <t>Bleach</t>
  </si>
  <si>
    <t>Lysol Cleaner</t>
  </si>
  <si>
    <t>Cleanser (Ajax or Comet)</t>
  </si>
  <si>
    <t>Liquid Dish Soap</t>
  </si>
  <si>
    <t>Dishwasher Detergent (liquid)</t>
  </si>
  <si>
    <t>Laundry Detergent</t>
  </si>
  <si>
    <t>Diapers #1</t>
  </si>
  <si>
    <t>Shampoo</t>
  </si>
  <si>
    <t>Diapers #3</t>
  </si>
  <si>
    <t>Diapers #4</t>
  </si>
  <si>
    <t>Aluminum Foil</t>
  </si>
  <si>
    <t>Baby Wipes</t>
  </si>
  <si>
    <t>Hand Soap</t>
  </si>
  <si>
    <t>Plastic Wrap</t>
  </si>
  <si>
    <t>Razor</t>
  </si>
  <si>
    <t>Tampons -- Regular</t>
  </si>
  <si>
    <t>Tampons -- Super</t>
  </si>
  <si>
    <t>Deodorant Men</t>
  </si>
  <si>
    <t>Deodorant Women</t>
  </si>
  <si>
    <t>Toilet Paper</t>
  </si>
  <si>
    <t>Shaving Cream</t>
  </si>
  <si>
    <t>Toothpaste</t>
  </si>
  <si>
    <t>Toothbrush Adult</t>
  </si>
  <si>
    <t>Toothbrush Child</t>
  </si>
  <si>
    <t>Chocolate Orange Sticks</t>
  </si>
  <si>
    <t>Cranberry Sauce</t>
  </si>
  <si>
    <t>Olives</t>
  </si>
  <si>
    <t>Canned Pumpkin</t>
  </si>
  <si>
    <t>Stuffing</t>
  </si>
  <si>
    <t>T-shirt bags</t>
  </si>
  <si>
    <t>10" Paper Towel Dispenser Towels</t>
  </si>
  <si>
    <t>3,5</t>
  </si>
  <si>
    <t>4,5</t>
  </si>
  <si>
    <t>Cooler</t>
  </si>
  <si>
    <t>2,5</t>
  </si>
  <si>
    <t>2,2</t>
  </si>
  <si>
    <t>1,1</t>
  </si>
  <si>
    <t>2,1</t>
  </si>
  <si>
    <t>2,6</t>
  </si>
  <si>
    <t>2,4</t>
  </si>
  <si>
    <t>1,2</t>
  </si>
  <si>
    <t>1,6</t>
  </si>
  <si>
    <t>BSH
Item #</t>
  </si>
  <si>
    <t>Storehouse
Location</t>
  </si>
  <si>
    <t>Monthly Order Process</t>
  </si>
  <si>
    <t>2. Collect upcoming humanitarian orders that are to be ordered on this order sheet.</t>
  </si>
  <si>
    <t>3. Collect upcoming surplus counts -- from expiring items</t>
  </si>
  <si>
    <t>4. Collect Michael's calculated order sheet -- usually on the 1st of the month.</t>
  </si>
  <si>
    <t>5. Insert all of the values from #1-4 above into this spreadsheet.</t>
  </si>
  <si>
    <t>3,2</t>
  </si>
  <si>
    <t>4,2</t>
  </si>
  <si>
    <t>4,3</t>
  </si>
  <si>
    <t>3,4</t>
  </si>
  <si>
    <t>3,3</t>
  </si>
  <si>
    <t>3,6</t>
  </si>
  <si>
    <t>2,3</t>
  </si>
  <si>
    <t>2,7</t>
  </si>
  <si>
    <t>1,3</t>
  </si>
  <si>
    <t>1,4</t>
  </si>
  <si>
    <t>1,5</t>
  </si>
  <si>
    <t>Gloves</t>
  </si>
  <si>
    <t>Produce Vented Bags</t>
  </si>
  <si>
    <t>Shrink Wrap</t>
  </si>
  <si>
    <t>Paper Bags</t>
  </si>
  <si>
    <t>Box Cutter</t>
  </si>
  <si>
    <t>Milk Boxes</t>
  </si>
  <si>
    <t xml:space="preserve">Apples </t>
  </si>
  <si>
    <t>Sanitary Napkins</t>
  </si>
  <si>
    <t xml:space="preserve">D
Current Rack
count </t>
  </si>
  <si>
    <t>E
Michael's Calculated count</t>
  </si>
  <si>
    <t>F
Samp
Surplus count</t>
  </si>
  <si>
    <t>G
Future Humanitarian count</t>
  </si>
  <si>
    <t>H
D+E-(F+G)</t>
  </si>
  <si>
    <t>Items
Per 
case</t>
  </si>
  <si>
    <t xml:space="preserve">Append to Michael's count </t>
  </si>
  <si>
    <t>Items
Per
tier</t>
  </si>
  <si>
    <t>Wirtz Minimum
(in cases)</t>
  </si>
  <si>
    <t>Notes:</t>
  </si>
  <si>
    <t>1. Endeavor to order by the tier, and when the item -- such as Baby Cereal -- does</t>
  </si>
  <si>
    <t>not justify an entire tier then order by the case.</t>
  </si>
  <si>
    <t>2. When you order a number other than the number this worksheet recommends</t>
  </si>
  <si>
    <t>show the number as bold and red in the Michael Append column.</t>
  </si>
  <si>
    <t>3. Currently, bread is shipped on the monthy order -- as it is frozen, and frozen</t>
  </si>
  <si>
    <t>items are only shipped on the monthly orders. It does not have a location on</t>
  </si>
  <si>
    <t>any form, so apparently we must contact Michael to change our count.</t>
  </si>
  <si>
    <t>1. During the month between shipments, periodically inspect shop racks and note any that</t>
  </si>
  <si>
    <t xml:space="preserve">are holding items whose dates expire or whose count will shrink to lower than the Wirtz </t>
  </si>
  <si>
    <t xml:space="preserve">Minimum before the next month's shipment . Immediately mark this spreadsheet so on the </t>
  </si>
  <si>
    <t xml:space="preserve">day you prepare to send in the order you can refer to this rather than canvas the entire </t>
  </si>
  <si>
    <t>storehouse.</t>
  </si>
  <si>
    <t>6. Add any non-zero number that is in column C to Michael's calculated sheet. Note the</t>
  </si>
  <si>
    <t>suggestion to round up to a tier or whole pallet given below in the notes. Scan Michael's</t>
  </si>
  <si>
    <t xml:space="preserve">calculated sheet and email your updated version to him. Try to have this done the day </t>
  </si>
  <si>
    <t>you receive his original calculated sheet -- usually the 1st day of the month.</t>
  </si>
  <si>
    <t>4. Note that it is not necessary for the rack count field to be filled in if the</t>
  </si>
  <si>
    <t>rack contains more than the Wirtz Minimum.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</si>
</sst>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4" fillId="0" borderId="2" xfId="0" applyFont="1" applyBorder="1"/>
    <xf numFmtId="0" fontId="4" fillId="0" borderId="1" xfId="0" applyFont="1" applyBorder="1"/>
    <xf numFmtId="0" fontId="4" fillId="3" borderId="1" xfId="0" applyFont="1" applyFill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7" xfId="0" applyFont="1" applyBorder="1"/>
    <xf numFmtId="0" fontId="4" fillId="0" borderId="8" xfId="0" applyFont="1" applyBorder="1"/>
    <xf numFmtId="0" fontId="4" fillId="3" borderId="8" xfId="0" applyFont="1" applyFill="1" applyBorder="1"/>
    <xf numFmtId="0" fontId="4" fillId="0" borderId="9" xfId="0" applyFont="1" applyBorder="1" applyAlignment="1">
      <alignment horizontal="center"/>
    </xf>
    <xf numFmtId="0" fontId="5" fillId="3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fill>
        <patternFill patternType="solid">
          <fgColor indexed="64"/>
          <bgColor theme="3" tint="0.8999603259376811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65722-F916-4493-BF38-284E8ABE9D0A}" name="Table1" displayName="Table1" ref="A3:L115" totalsRowShown="0" headerRowDxfId="16" dataDxfId="14" headerRowBorderDxfId="15" tableBorderDxfId="13" totalsRowBorderDxfId="12">
  <autoFilter ref="A3:L115" xr:uid="{2AB65722-F916-4493-BF38-284E8ABE9D0A}"/>
  <tableColumns count="12">
    <tableColumn id="1" xr3:uid="{68DB10E2-4767-4D79-B202-52116527DA7A}" name="BSH_x000a_Item #" dataDxfId="11"/>
    <tableColumn id="2" xr3:uid="{915A9499-71E9-4EFA-8ABE-577EAE3FB3A6}" name="Description" dataDxfId="10"/>
    <tableColumn id="3" xr3:uid="{55C5AB36-3A0A-48DB-B57A-3B8D62594FEE}" name="Append to Michael's count " dataDxfId="9">
      <calculatedColumnFormula>IF(AND(D4&gt;I4,E4+F4+G4+H4&lt;&gt;0),D4-I4,0)</calculatedColumnFormula>
    </tableColumn>
    <tableColumn id="4" xr3:uid="{A51A59C2-F09D-47DE-9678-959186B87BAF}" name="Wirtz Minimum_x000a_(in cases)" dataDxfId="8"/>
    <tableColumn id="5" xr3:uid="{CFFB1AD8-5493-4BF9-893B-0FC6BB270DC1}" name="D_x000a_Current Rack_x000a_count " dataDxfId="7"/>
    <tableColumn id="6" xr3:uid="{BA012646-0D3C-4C91-BE27-5661B1F09561}" name="E_x000a_Michael's Calculated count" dataDxfId="6"/>
    <tableColumn id="7" xr3:uid="{180F78FC-E2B7-4007-9AD2-369871A6C73B}" name="F_x000a_Samp_x000a_Surplus count" dataDxfId="5"/>
    <tableColumn id="8" xr3:uid="{33192EB8-1EE5-4FE3-85ED-AC633C7EE6E5}" name="G_x000a_Future Humanitarian count" dataDxfId="4"/>
    <tableColumn id="9" xr3:uid="{F8A1AD6F-AF64-4AF5-9407-B58BC417B45A}" name="H_x000a_D+E-(F+G)" dataDxfId="3">
      <calculatedColumnFormula>E4+F4-(G4+H4)</calculatedColumnFormula>
    </tableColumn>
    <tableColumn id="10" xr3:uid="{E2AADA88-D0BD-4DE0-B8E2-AEED56034D20}" name="Items_x000a_Per _x000a_case" dataDxfId="2"/>
    <tableColumn id="11" xr3:uid="{EE71BAEE-B470-4398-B5D7-8DC7726EEDB3}" name="Items_x000a_Per_x000a_tier" dataDxfId="1"/>
    <tableColumn id="12" xr3:uid="{94E9E363-CE77-4DDD-A20A-931697D1BE9D}" name="Storehouse_x000a_Location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E236-100C-45FC-A3D1-EB79F59CB857}">
  <dimension ref="A1:L151"/>
  <sheetViews>
    <sheetView tabSelected="1" topLeftCell="A3" workbookViewId="0">
      <selection activeCell="A3" sqref="A3"/>
    </sheetView>
  </sheetViews>
  <sheetFormatPr defaultRowHeight="15" x14ac:dyDescent="0.25"/>
  <cols>
    <col min="1" max="1" width="6.85546875" customWidth="1"/>
    <col min="2" max="2" width="27" customWidth="1"/>
    <col min="3" max="3" width="8.7109375" customWidth="1"/>
    <col min="4" max="4" width="8.42578125" customWidth="1"/>
    <col min="5" max="5" width="7.28515625" customWidth="1"/>
    <col min="6" max="6" width="9.42578125" customWidth="1"/>
    <col min="7" max="7" width="7.5703125" customWidth="1"/>
    <col min="8" max="8" width="11.5703125" customWidth="1"/>
    <col min="9" max="9" width="10.5703125" customWidth="1"/>
    <col min="10" max="10" width="8.28515625" customWidth="1"/>
    <col min="11" max="11" width="6.42578125" customWidth="1"/>
    <col min="12" max="12" width="11.140625" customWidth="1"/>
  </cols>
  <sheetData>
    <row r="1" spans="1:12" x14ac:dyDescent="0.25">
      <c r="A1" t="s">
        <v>1</v>
      </c>
      <c r="F1" s="1">
        <f ca="1">TODAY()</f>
        <v>46074</v>
      </c>
    </row>
    <row r="2" spans="1:12" x14ac:dyDescent="0.25">
      <c r="A2" t="s">
        <v>2</v>
      </c>
    </row>
    <row r="3" spans="1:12" s="4" customFormat="1" ht="54" x14ac:dyDescent="0.25">
      <c r="A3" s="5" t="s">
        <v>126</v>
      </c>
      <c r="B3" s="6" t="s">
        <v>0</v>
      </c>
      <c r="C3" s="6" t="s">
        <v>158</v>
      </c>
      <c r="D3" s="6" t="s">
        <v>160</v>
      </c>
      <c r="E3" s="6" t="s">
        <v>152</v>
      </c>
      <c r="F3" s="6" t="s">
        <v>153</v>
      </c>
      <c r="G3" s="6" t="s">
        <v>154</v>
      </c>
      <c r="H3" s="6" t="s">
        <v>155</v>
      </c>
      <c r="I3" s="6" t="s">
        <v>156</v>
      </c>
      <c r="J3" s="6" t="s">
        <v>157</v>
      </c>
      <c r="K3" s="6" t="s">
        <v>159</v>
      </c>
      <c r="L3" s="7" t="s">
        <v>127</v>
      </c>
    </row>
    <row r="4" spans="1:12" x14ac:dyDescent="0.25">
      <c r="A4" s="8">
        <v>3</v>
      </c>
      <c r="B4" s="9" t="s">
        <v>5</v>
      </c>
      <c r="C4" s="10">
        <f>IF(AND(D4&gt;I4,E4+F4+G4+H4&lt;&gt;0),D4-I4,0)</f>
        <v>0</v>
      </c>
      <c r="D4" s="9">
        <v>5</v>
      </c>
      <c r="E4" s="9">
        <v>18</v>
      </c>
      <c r="F4" s="9"/>
      <c r="G4" s="9"/>
      <c r="H4" s="9"/>
      <c r="I4" s="9">
        <f>E4+F4-(G4+H4)</f>
        <v>18</v>
      </c>
      <c r="J4" s="9">
        <v>24</v>
      </c>
      <c r="K4" s="9">
        <v>17</v>
      </c>
      <c r="L4" s="11" t="s">
        <v>133</v>
      </c>
    </row>
    <row r="5" spans="1:12" x14ac:dyDescent="0.25">
      <c r="A5" s="8">
        <v>6</v>
      </c>
      <c r="B5" s="9" t="s">
        <v>6</v>
      </c>
      <c r="C5" s="10">
        <f t="shared" ref="C5:C68" si="0">IF(AND(D5&gt;I5,E5+F5+G5+H5&lt;&gt;0),D5-I5,0)</f>
        <v>0</v>
      </c>
      <c r="D5" s="9">
        <v>10</v>
      </c>
      <c r="E5" s="9">
        <v>24</v>
      </c>
      <c r="F5" s="9"/>
      <c r="G5" s="9"/>
      <c r="H5" s="9"/>
      <c r="I5" s="9">
        <f t="shared" ref="I5:I68" si="1">E5+F5-(G5+H5)</f>
        <v>24</v>
      </c>
      <c r="J5" s="9">
        <v>24</v>
      </c>
      <c r="K5" s="9">
        <v>17</v>
      </c>
      <c r="L5" s="12" t="s">
        <v>133</v>
      </c>
    </row>
    <row r="6" spans="1:12" x14ac:dyDescent="0.25">
      <c r="A6" s="8">
        <v>9</v>
      </c>
      <c r="B6" s="9" t="s">
        <v>7</v>
      </c>
      <c r="C6" s="10">
        <f t="shared" si="0"/>
        <v>0</v>
      </c>
      <c r="D6" s="9">
        <v>17</v>
      </c>
      <c r="E6" s="9">
        <v>92</v>
      </c>
      <c r="F6" s="9"/>
      <c r="G6" s="9"/>
      <c r="H6" s="9"/>
      <c r="I6" s="9">
        <f t="shared" si="1"/>
        <v>92</v>
      </c>
      <c r="J6" s="9">
        <v>24</v>
      </c>
      <c r="K6" s="9">
        <v>17</v>
      </c>
      <c r="L6" s="11" t="s">
        <v>133</v>
      </c>
    </row>
    <row r="7" spans="1:12" x14ac:dyDescent="0.25">
      <c r="A7" s="8">
        <v>12</v>
      </c>
      <c r="B7" s="9" t="s">
        <v>8</v>
      </c>
      <c r="C7" s="10">
        <f t="shared" si="0"/>
        <v>0</v>
      </c>
      <c r="D7" s="9">
        <v>10</v>
      </c>
      <c r="E7" s="9">
        <v>68</v>
      </c>
      <c r="F7" s="9"/>
      <c r="G7" s="9"/>
      <c r="H7" s="9"/>
      <c r="I7" s="9">
        <f t="shared" si="1"/>
        <v>68</v>
      </c>
      <c r="J7" s="9">
        <v>24</v>
      </c>
      <c r="K7" s="9">
        <v>17</v>
      </c>
      <c r="L7" s="11" t="s">
        <v>133</v>
      </c>
    </row>
    <row r="8" spans="1:12" x14ac:dyDescent="0.25">
      <c r="A8" s="8">
        <v>14</v>
      </c>
      <c r="B8" s="9" t="s">
        <v>9</v>
      </c>
      <c r="C8" s="10">
        <f t="shared" si="0"/>
        <v>0</v>
      </c>
      <c r="D8" s="9">
        <v>5</v>
      </c>
      <c r="E8" s="9">
        <v>21</v>
      </c>
      <c r="F8" s="9"/>
      <c r="G8" s="9"/>
      <c r="H8" s="9"/>
      <c r="I8" s="9">
        <f t="shared" si="1"/>
        <v>21</v>
      </c>
      <c r="J8" s="9">
        <v>24</v>
      </c>
      <c r="K8" s="9">
        <v>17</v>
      </c>
      <c r="L8" s="11" t="s">
        <v>134</v>
      </c>
    </row>
    <row r="9" spans="1:12" x14ac:dyDescent="0.25">
      <c r="A9" s="8">
        <v>15</v>
      </c>
      <c r="B9" s="9" t="s">
        <v>10</v>
      </c>
      <c r="C9" s="10">
        <f t="shared" si="0"/>
        <v>0</v>
      </c>
      <c r="D9" s="9">
        <v>4</v>
      </c>
      <c r="E9" s="9">
        <v>16</v>
      </c>
      <c r="F9" s="9"/>
      <c r="G9" s="9"/>
      <c r="H9" s="9"/>
      <c r="I9" s="9">
        <f t="shared" si="1"/>
        <v>16</v>
      </c>
      <c r="J9" s="9">
        <v>24</v>
      </c>
      <c r="K9" s="9">
        <v>17</v>
      </c>
      <c r="L9" s="11" t="s">
        <v>135</v>
      </c>
    </row>
    <row r="10" spans="1:12" x14ac:dyDescent="0.25">
      <c r="A10" s="8">
        <v>16</v>
      </c>
      <c r="B10" s="9" t="s">
        <v>11</v>
      </c>
      <c r="C10" s="10">
        <f t="shared" si="0"/>
        <v>0</v>
      </c>
      <c r="D10" s="9">
        <v>5</v>
      </c>
      <c r="E10" s="9">
        <v>6</v>
      </c>
      <c r="F10" s="9">
        <v>17</v>
      </c>
      <c r="G10" s="9"/>
      <c r="H10" s="9"/>
      <c r="I10" s="9">
        <f t="shared" si="1"/>
        <v>23</v>
      </c>
      <c r="J10" s="9">
        <v>24</v>
      </c>
      <c r="K10" s="9">
        <v>17</v>
      </c>
      <c r="L10" s="11" t="s">
        <v>135</v>
      </c>
    </row>
    <row r="11" spans="1:12" x14ac:dyDescent="0.25">
      <c r="A11" s="8">
        <v>18</v>
      </c>
      <c r="B11" s="9" t="s">
        <v>12</v>
      </c>
      <c r="C11" s="10">
        <f t="shared" si="0"/>
        <v>0</v>
      </c>
      <c r="D11" s="9">
        <v>5</v>
      </c>
      <c r="E11" s="9">
        <v>119</v>
      </c>
      <c r="F11" s="9"/>
      <c r="G11" s="9"/>
      <c r="H11" s="9">
        <f>600/48</f>
        <v>12.5</v>
      </c>
      <c r="I11" s="9">
        <f t="shared" si="1"/>
        <v>106.5</v>
      </c>
      <c r="J11" s="9">
        <v>48</v>
      </c>
      <c r="K11" s="9">
        <v>14</v>
      </c>
      <c r="L11" s="11" t="s">
        <v>137</v>
      </c>
    </row>
    <row r="12" spans="1:12" x14ac:dyDescent="0.25">
      <c r="A12" s="8">
        <v>19</v>
      </c>
      <c r="B12" s="9" t="s">
        <v>13</v>
      </c>
      <c r="C12" s="10">
        <f t="shared" si="0"/>
        <v>0</v>
      </c>
      <c r="D12" s="9">
        <v>25</v>
      </c>
      <c r="E12" s="9">
        <v>45</v>
      </c>
      <c r="F12" s="9"/>
      <c r="G12" s="9"/>
      <c r="H12" s="9"/>
      <c r="I12" s="9">
        <f t="shared" si="1"/>
        <v>45</v>
      </c>
      <c r="J12" s="9">
        <v>12</v>
      </c>
      <c r="K12" s="9">
        <v>16</v>
      </c>
      <c r="L12" s="11" t="s">
        <v>137</v>
      </c>
    </row>
    <row r="13" spans="1:12" x14ac:dyDescent="0.25">
      <c r="A13" s="8">
        <v>24</v>
      </c>
      <c r="B13" s="9" t="s">
        <v>14</v>
      </c>
      <c r="C13" s="10">
        <f t="shared" si="0"/>
        <v>0</v>
      </c>
      <c r="D13" s="9">
        <v>17</v>
      </c>
      <c r="E13" s="9">
        <v>71</v>
      </c>
      <c r="F13" s="9"/>
      <c r="G13" s="9"/>
      <c r="H13" s="9"/>
      <c r="I13" s="9">
        <f t="shared" si="1"/>
        <v>71</v>
      </c>
      <c r="J13" s="9">
        <v>24</v>
      </c>
      <c r="K13" s="9">
        <v>17</v>
      </c>
      <c r="L13" s="11" t="s">
        <v>136</v>
      </c>
    </row>
    <row r="14" spans="1:12" x14ac:dyDescent="0.25">
      <c r="A14" s="8">
        <v>27</v>
      </c>
      <c r="B14" s="9" t="s">
        <v>15</v>
      </c>
      <c r="C14" s="10">
        <f t="shared" si="0"/>
        <v>0</v>
      </c>
      <c r="D14" s="9">
        <v>17</v>
      </c>
      <c r="E14" s="9">
        <v>25</v>
      </c>
      <c r="F14" s="9"/>
      <c r="G14" s="9"/>
      <c r="H14" s="9"/>
      <c r="I14" s="9">
        <f t="shared" si="1"/>
        <v>25</v>
      </c>
      <c r="J14" s="9">
        <v>24</v>
      </c>
      <c r="K14" s="9">
        <v>17</v>
      </c>
      <c r="L14" s="11" t="s">
        <v>115</v>
      </c>
    </row>
    <row r="15" spans="1:12" x14ac:dyDescent="0.25">
      <c r="A15" s="8">
        <v>35</v>
      </c>
      <c r="B15" s="9" t="s">
        <v>16</v>
      </c>
      <c r="C15" s="10">
        <f t="shared" si="0"/>
        <v>0</v>
      </c>
      <c r="D15" s="9">
        <v>5</v>
      </c>
      <c r="E15" s="9">
        <v>14</v>
      </c>
      <c r="F15" s="9">
        <v>12</v>
      </c>
      <c r="G15" s="9">
        <v>14</v>
      </c>
      <c r="H15" s="9"/>
      <c r="I15" s="9">
        <f t="shared" si="1"/>
        <v>12</v>
      </c>
      <c r="J15" s="9">
        <v>12</v>
      </c>
      <c r="K15" s="9">
        <v>12</v>
      </c>
      <c r="L15" s="11" t="s">
        <v>118</v>
      </c>
    </row>
    <row r="16" spans="1:12" x14ac:dyDescent="0.25">
      <c r="A16" s="8">
        <v>37</v>
      </c>
      <c r="B16" s="9" t="s">
        <v>17</v>
      </c>
      <c r="C16" s="10">
        <f t="shared" si="0"/>
        <v>0</v>
      </c>
      <c r="D16" s="9">
        <v>10</v>
      </c>
      <c r="E16" s="9"/>
      <c r="F16" s="9"/>
      <c r="G16" s="9"/>
      <c r="H16" s="9"/>
      <c r="I16" s="9">
        <f t="shared" si="1"/>
        <v>0</v>
      </c>
      <c r="J16" s="9">
        <v>12</v>
      </c>
      <c r="K16" s="9">
        <v>10</v>
      </c>
      <c r="L16" s="11" t="s">
        <v>138</v>
      </c>
    </row>
    <row r="17" spans="1:12" x14ac:dyDescent="0.25">
      <c r="A17" s="8">
        <v>39</v>
      </c>
      <c r="B17" s="9" t="s">
        <v>18</v>
      </c>
      <c r="C17" s="10">
        <f t="shared" si="0"/>
        <v>0</v>
      </c>
      <c r="D17" s="9">
        <v>5</v>
      </c>
      <c r="E17" s="9"/>
      <c r="F17" s="9">
        <v>17</v>
      </c>
      <c r="G17" s="9"/>
      <c r="H17" s="9"/>
      <c r="I17" s="9">
        <f t="shared" si="1"/>
        <v>17</v>
      </c>
      <c r="J17" s="9">
        <v>24</v>
      </c>
      <c r="K17" s="9">
        <v>17</v>
      </c>
      <c r="L17" s="11" t="s">
        <v>115</v>
      </c>
    </row>
    <row r="18" spans="1:12" x14ac:dyDescent="0.25">
      <c r="A18" s="8">
        <v>42</v>
      </c>
      <c r="B18" s="9" t="s">
        <v>19</v>
      </c>
      <c r="C18" s="10">
        <f t="shared" si="0"/>
        <v>7</v>
      </c>
      <c r="D18" s="9">
        <v>17</v>
      </c>
      <c r="E18" s="9">
        <v>35</v>
      </c>
      <c r="F18" s="9"/>
      <c r="G18" s="9"/>
      <c r="H18" s="9">
        <f>600/24</f>
        <v>25</v>
      </c>
      <c r="I18" s="9">
        <f t="shared" si="1"/>
        <v>10</v>
      </c>
      <c r="J18" s="9">
        <v>24</v>
      </c>
      <c r="K18" s="9">
        <v>17</v>
      </c>
      <c r="L18" s="11" t="s">
        <v>137</v>
      </c>
    </row>
    <row r="19" spans="1:12" x14ac:dyDescent="0.25">
      <c r="A19" s="8">
        <v>45</v>
      </c>
      <c r="B19" s="9" t="s">
        <v>20</v>
      </c>
      <c r="C19" s="10">
        <f t="shared" si="0"/>
        <v>0</v>
      </c>
      <c r="D19" s="9">
        <v>10</v>
      </c>
      <c r="E19" s="9">
        <v>45</v>
      </c>
      <c r="F19" s="9">
        <v>17</v>
      </c>
      <c r="G19" s="9"/>
      <c r="H19" s="9">
        <v>25</v>
      </c>
      <c r="I19" s="9">
        <f t="shared" si="1"/>
        <v>37</v>
      </c>
      <c r="J19" s="9">
        <v>24</v>
      </c>
      <c r="K19" s="9">
        <v>17</v>
      </c>
      <c r="L19" s="11" t="s">
        <v>137</v>
      </c>
    </row>
    <row r="20" spans="1:12" x14ac:dyDescent="0.25">
      <c r="A20" s="8">
        <v>46</v>
      </c>
      <c r="B20" s="9" t="s">
        <v>24</v>
      </c>
      <c r="C20" s="10">
        <f t="shared" si="0"/>
        <v>0</v>
      </c>
      <c r="D20" s="9">
        <v>5</v>
      </c>
      <c r="E20" s="9"/>
      <c r="F20" s="9"/>
      <c r="G20" s="9"/>
      <c r="H20" s="9"/>
      <c r="I20" s="9">
        <f t="shared" si="1"/>
        <v>0</v>
      </c>
      <c r="J20" s="9">
        <v>48</v>
      </c>
      <c r="K20" s="9">
        <v>10</v>
      </c>
      <c r="L20" s="11" t="s">
        <v>137</v>
      </c>
    </row>
    <row r="21" spans="1:12" x14ac:dyDescent="0.25">
      <c r="A21" s="8">
        <v>48</v>
      </c>
      <c r="B21" s="9" t="s">
        <v>21</v>
      </c>
      <c r="C21" s="10">
        <f t="shared" si="0"/>
        <v>0</v>
      </c>
      <c r="D21" s="9">
        <v>8</v>
      </c>
      <c r="E21" s="9">
        <v>70</v>
      </c>
      <c r="F21" s="9"/>
      <c r="G21" s="9"/>
      <c r="H21" s="9"/>
      <c r="I21" s="9">
        <f t="shared" si="1"/>
        <v>70</v>
      </c>
      <c r="J21" s="9">
        <v>24</v>
      </c>
      <c r="K21" s="9">
        <v>17</v>
      </c>
      <c r="L21" s="11" t="s">
        <v>136</v>
      </c>
    </row>
    <row r="22" spans="1:12" ht="24" x14ac:dyDescent="0.4">
      <c r="A22" s="8">
        <v>53</v>
      </c>
      <c r="B22" s="9" t="s">
        <v>22</v>
      </c>
      <c r="C22" s="10">
        <f t="shared" si="0"/>
        <v>4</v>
      </c>
      <c r="D22" s="9">
        <v>10</v>
      </c>
      <c r="E22" s="9">
        <v>14</v>
      </c>
      <c r="F22" s="9">
        <v>17</v>
      </c>
      <c r="G22" s="9"/>
      <c r="H22" s="19">
        <v>25</v>
      </c>
      <c r="I22" s="9">
        <f t="shared" si="1"/>
        <v>6</v>
      </c>
      <c r="J22" s="9">
        <v>24</v>
      </c>
      <c r="K22" s="9">
        <v>17</v>
      </c>
      <c r="L22" s="11" t="s">
        <v>136</v>
      </c>
    </row>
    <row r="23" spans="1:12" x14ac:dyDescent="0.25">
      <c r="A23" s="8">
        <v>54</v>
      </c>
      <c r="B23" s="9" t="s">
        <v>23</v>
      </c>
      <c r="C23" s="10">
        <f t="shared" si="0"/>
        <v>0</v>
      </c>
      <c r="D23" s="9">
        <v>5</v>
      </c>
      <c r="E23" s="9"/>
      <c r="F23" s="9"/>
      <c r="G23" s="9"/>
      <c r="H23" s="9"/>
      <c r="I23" s="9">
        <f t="shared" si="1"/>
        <v>0</v>
      </c>
      <c r="J23" s="9">
        <v>48</v>
      </c>
      <c r="K23" s="9">
        <v>17</v>
      </c>
      <c r="L23" s="11" t="s">
        <v>136</v>
      </c>
    </row>
    <row r="24" spans="1:12" x14ac:dyDescent="0.25">
      <c r="A24" s="8">
        <v>56</v>
      </c>
      <c r="B24" s="9" t="s">
        <v>25</v>
      </c>
      <c r="C24" s="10">
        <f t="shared" si="0"/>
        <v>0</v>
      </c>
      <c r="D24" s="9">
        <v>9</v>
      </c>
      <c r="E24" s="9"/>
      <c r="F24" s="9"/>
      <c r="G24" s="9"/>
      <c r="H24" s="9"/>
      <c r="I24" s="9">
        <f t="shared" si="1"/>
        <v>0</v>
      </c>
      <c r="J24" s="9">
        <v>12</v>
      </c>
      <c r="K24" s="9">
        <v>14</v>
      </c>
      <c r="L24" s="11" t="s">
        <v>136</v>
      </c>
    </row>
    <row r="25" spans="1:12" x14ac:dyDescent="0.25">
      <c r="A25" s="8">
        <v>61</v>
      </c>
      <c r="B25" s="9" t="s">
        <v>26</v>
      </c>
      <c r="C25" s="10">
        <f t="shared" si="0"/>
        <v>0</v>
      </c>
      <c r="D25" s="9">
        <v>10</v>
      </c>
      <c r="E25" s="9"/>
      <c r="F25" s="9">
        <v>80</v>
      </c>
      <c r="G25" s="9"/>
      <c r="H25" s="9"/>
      <c r="I25" s="9">
        <f t="shared" si="1"/>
        <v>80</v>
      </c>
      <c r="J25" s="9">
        <v>12</v>
      </c>
      <c r="K25" s="9">
        <v>10</v>
      </c>
      <c r="L25" s="11" t="s">
        <v>115</v>
      </c>
    </row>
    <row r="26" spans="1:12" x14ac:dyDescent="0.25">
      <c r="A26" s="8">
        <v>64</v>
      </c>
      <c r="B26" s="9" t="s">
        <v>27</v>
      </c>
      <c r="C26" s="10">
        <f t="shared" si="0"/>
        <v>0</v>
      </c>
      <c r="D26" s="9">
        <v>10</v>
      </c>
      <c r="E26" s="9"/>
      <c r="F26" s="9"/>
      <c r="G26" s="9"/>
      <c r="H26" s="9"/>
      <c r="I26" s="9">
        <f t="shared" si="1"/>
        <v>0</v>
      </c>
      <c r="J26" s="9">
        <v>12</v>
      </c>
      <c r="K26" s="9">
        <v>10</v>
      </c>
      <c r="L26" s="11" t="s">
        <v>115</v>
      </c>
    </row>
    <row r="27" spans="1:12" x14ac:dyDescent="0.25">
      <c r="A27" s="8">
        <v>86</v>
      </c>
      <c r="B27" s="9" t="s">
        <v>28</v>
      </c>
      <c r="C27" s="10">
        <f t="shared" si="0"/>
        <v>0</v>
      </c>
      <c r="D27" s="9">
        <v>10</v>
      </c>
      <c r="E27" s="9"/>
      <c r="F27" s="9"/>
      <c r="G27" s="9"/>
      <c r="H27" s="9"/>
      <c r="I27" s="9">
        <f t="shared" si="1"/>
        <v>0</v>
      </c>
      <c r="J27" s="9">
        <v>12</v>
      </c>
      <c r="K27" s="9">
        <v>20</v>
      </c>
      <c r="L27" s="11" t="s">
        <v>139</v>
      </c>
    </row>
    <row r="28" spans="1:12" x14ac:dyDescent="0.25">
      <c r="A28" s="8">
        <v>89</v>
      </c>
      <c r="B28" s="9" t="s">
        <v>29</v>
      </c>
      <c r="C28" s="10">
        <f t="shared" si="0"/>
        <v>0</v>
      </c>
      <c r="D28" s="9">
        <v>10</v>
      </c>
      <c r="E28" s="9"/>
      <c r="F28" s="9"/>
      <c r="G28" s="9"/>
      <c r="H28" s="9"/>
      <c r="I28" s="9">
        <f t="shared" si="1"/>
        <v>0</v>
      </c>
      <c r="J28" s="9">
        <v>12</v>
      </c>
      <c r="K28" s="9">
        <v>20</v>
      </c>
      <c r="L28" s="11" t="s">
        <v>139</v>
      </c>
    </row>
    <row r="29" spans="1:12" x14ac:dyDescent="0.25">
      <c r="A29" s="8">
        <v>90</v>
      </c>
      <c r="B29" s="9" t="s">
        <v>30</v>
      </c>
      <c r="C29" s="10">
        <f t="shared" si="0"/>
        <v>0</v>
      </c>
      <c r="D29" s="9">
        <v>14</v>
      </c>
      <c r="E29" s="9">
        <v>33</v>
      </c>
      <c r="F29" s="9">
        <v>70</v>
      </c>
      <c r="G29" s="9"/>
      <c r="H29" s="9"/>
      <c r="I29" s="9">
        <f t="shared" si="1"/>
        <v>103</v>
      </c>
      <c r="J29" s="9">
        <v>12</v>
      </c>
      <c r="K29" s="9">
        <v>14</v>
      </c>
      <c r="L29" s="11" t="s">
        <v>138</v>
      </c>
    </row>
    <row r="30" spans="1:12" x14ac:dyDescent="0.25">
      <c r="A30" s="8">
        <v>93</v>
      </c>
      <c r="B30" s="9" t="s">
        <v>31</v>
      </c>
      <c r="C30" s="10">
        <f t="shared" si="0"/>
        <v>0</v>
      </c>
      <c r="D30" s="9">
        <v>10</v>
      </c>
      <c r="E30" s="9">
        <v>74</v>
      </c>
      <c r="F30" s="9"/>
      <c r="G30" s="9"/>
      <c r="H30" s="9"/>
      <c r="I30" s="9">
        <f t="shared" si="1"/>
        <v>74</v>
      </c>
      <c r="J30" s="9">
        <v>12</v>
      </c>
      <c r="K30" s="9">
        <v>14</v>
      </c>
      <c r="L30" s="11" t="s">
        <v>139</v>
      </c>
    </row>
    <row r="31" spans="1:12" x14ac:dyDescent="0.25">
      <c r="A31" s="8">
        <v>94</v>
      </c>
      <c r="B31" s="9" t="s">
        <v>32</v>
      </c>
      <c r="C31" s="10">
        <f t="shared" si="0"/>
        <v>0</v>
      </c>
      <c r="D31" s="9">
        <v>10</v>
      </c>
      <c r="E31" s="9">
        <v>26</v>
      </c>
      <c r="F31" s="9"/>
      <c r="G31" s="9"/>
      <c r="H31" s="9"/>
      <c r="I31" s="9">
        <f t="shared" si="1"/>
        <v>26</v>
      </c>
      <c r="J31" s="9">
        <v>12</v>
      </c>
      <c r="K31" s="9">
        <v>20</v>
      </c>
      <c r="L31" s="11" t="s">
        <v>123</v>
      </c>
    </row>
    <row r="32" spans="1:12" x14ac:dyDescent="0.25">
      <c r="A32" s="8">
        <v>98</v>
      </c>
      <c r="B32" s="9" t="s">
        <v>33</v>
      </c>
      <c r="C32" s="10">
        <f t="shared" si="0"/>
        <v>0</v>
      </c>
      <c r="D32" s="9">
        <v>10</v>
      </c>
      <c r="E32" s="9">
        <v>20</v>
      </c>
      <c r="F32" s="9"/>
      <c r="G32" s="9"/>
      <c r="H32" s="9"/>
      <c r="I32" s="9">
        <f t="shared" si="1"/>
        <v>20</v>
      </c>
      <c r="J32" s="9">
        <v>12</v>
      </c>
      <c r="K32" s="9">
        <v>24</v>
      </c>
      <c r="L32" s="11" t="s">
        <v>123</v>
      </c>
    </row>
    <row r="33" spans="1:12" x14ac:dyDescent="0.25">
      <c r="A33" s="8">
        <v>100</v>
      </c>
      <c r="B33" s="9" t="s">
        <v>34</v>
      </c>
      <c r="C33" s="10">
        <f t="shared" si="0"/>
        <v>0</v>
      </c>
      <c r="D33" s="9">
        <v>4</v>
      </c>
      <c r="E33" s="9">
        <v>15</v>
      </c>
      <c r="F33" s="9">
        <v>9</v>
      </c>
      <c r="G33" s="9"/>
      <c r="H33" s="9"/>
      <c r="I33" s="9">
        <f t="shared" si="1"/>
        <v>24</v>
      </c>
      <c r="J33" s="9">
        <v>24</v>
      </c>
      <c r="K33" s="9">
        <v>9</v>
      </c>
      <c r="L33" s="11" t="s">
        <v>118</v>
      </c>
    </row>
    <row r="34" spans="1:12" x14ac:dyDescent="0.25">
      <c r="A34" s="8">
        <v>102</v>
      </c>
      <c r="B34" s="9" t="s">
        <v>35</v>
      </c>
      <c r="C34" s="10">
        <f t="shared" si="0"/>
        <v>0</v>
      </c>
      <c r="D34" s="9">
        <v>5</v>
      </c>
      <c r="E34" s="9">
        <v>38</v>
      </c>
      <c r="F34" s="9"/>
      <c r="G34" s="9"/>
      <c r="H34" s="9"/>
      <c r="I34" s="9">
        <f t="shared" si="1"/>
        <v>38</v>
      </c>
      <c r="J34" s="9">
        <v>24</v>
      </c>
      <c r="K34" s="9">
        <v>15</v>
      </c>
      <c r="L34" s="11" t="s">
        <v>139</v>
      </c>
    </row>
    <row r="35" spans="1:12" x14ac:dyDescent="0.25">
      <c r="A35" s="8">
        <v>106</v>
      </c>
      <c r="B35" s="9" t="s">
        <v>36</v>
      </c>
      <c r="C35" s="10">
        <f t="shared" si="0"/>
        <v>0</v>
      </c>
      <c r="D35" s="9">
        <v>4</v>
      </c>
      <c r="E35" s="9">
        <v>7</v>
      </c>
      <c r="F35" s="9"/>
      <c r="G35" s="9"/>
      <c r="H35" s="9"/>
      <c r="I35" s="9">
        <f t="shared" si="1"/>
        <v>7</v>
      </c>
      <c r="J35" s="9">
        <v>12</v>
      </c>
      <c r="K35" s="9">
        <v>18</v>
      </c>
      <c r="L35" s="11" t="s">
        <v>140</v>
      </c>
    </row>
    <row r="36" spans="1:12" x14ac:dyDescent="0.25">
      <c r="A36" s="8">
        <v>109</v>
      </c>
      <c r="B36" s="9" t="s">
        <v>37</v>
      </c>
      <c r="C36" s="10">
        <f t="shared" si="0"/>
        <v>0</v>
      </c>
      <c r="D36" s="9">
        <v>4</v>
      </c>
      <c r="E36" s="9">
        <v>14</v>
      </c>
      <c r="F36" s="9">
        <v>8</v>
      </c>
      <c r="G36" s="9"/>
      <c r="H36" s="9"/>
      <c r="I36" s="9">
        <f t="shared" si="1"/>
        <v>22</v>
      </c>
      <c r="J36" s="9">
        <v>12</v>
      </c>
      <c r="K36" s="9">
        <v>18</v>
      </c>
      <c r="L36" s="11" t="s">
        <v>140</v>
      </c>
    </row>
    <row r="37" spans="1:12" x14ac:dyDescent="0.25">
      <c r="A37" s="8">
        <v>114</v>
      </c>
      <c r="B37" s="9" t="s">
        <v>38</v>
      </c>
      <c r="C37" s="10">
        <f t="shared" si="0"/>
        <v>0</v>
      </c>
      <c r="D37" s="9">
        <v>10</v>
      </c>
      <c r="E37" s="9">
        <v>14</v>
      </c>
      <c r="F37" s="9"/>
      <c r="G37" s="9"/>
      <c r="H37" s="9"/>
      <c r="I37" s="9">
        <f t="shared" si="1"/>
        <v>14</v>
      </c>
      <c r="J37" s="9">
        <v>12</v>
      </c>
      <c r="K37" s="9">
        <v>40</v>
      </c>
      <c r="L37" s="11" t="s">
        <v>140</v>
      </c>
    </row>
    <row r="38" spans="1:12" x14ac:dyDescent="0.25">
      <c r="A38" s="8">
        <v>121</v>
      </c>
      <c r="B38" s="9" t="s">
        <v>39</v>
      </c>
      <c r="C38" s="10">
        <f t="shared" si="0"/>
        <v>0</v>
      </c>
      <c r="D38" s="9">
        <v>2</v>
      </c>
      <c r="E38" s="9">
        <v>6</v>
      </c>
      <c r="F38" s="9"/>
      <c r="G38" s="9"/>
      <c r="H38" s="9"/>
      <c r="I38" s="9">
        <f t="shared" si="1"/>
        <v>6</v>
      </c>
      <c r="J38" s="9">
        <v>48</v>
      </c>
      <c r="K38" s="9">
        <v>12</v>
      </c>
      <c r="L38" s="11" t="s">
        <v>122</v>
      </c>
    </row>
    <row r="39" spans="1:12" x14ac:dyDescent="0.25">
      <c r="A39" s="8">
        <v>124</v>
      </c>
      <c r="B39" s="9" t="s">
        <v>40</v>
      </c>
      <c r="C39" s="10">
        <f t="shared" si="0"/>
        <v>0</v>
      </c>
      <c r="D39" s="9">
        <v>3</v>
      </c>
      <c r="E39" s="9">
        <v>3</v>
      </c>
      <c r="F39" s="9">
        <v>4</v>
      </c>
      <c r="G39" s="9"/>
      <c r="H39" s="9"/>
      <c r="I39" s="9">
        <f t="shared" si="1"/>
        <v>7</v>
      </c>
      <c r="J39" s="9">
        <v>48</v>
      </c>
      <c r="K39" s="9">
        <v>12</v>
      </c>
      <c r="L39" s="11" t="s">
        <v>122</v>
      </c>
    </row>
    <row r="40" spans="1:12" x14ac:dyDescent="0.25">
      <c r="A40" s="8">
        <v>135</v>
      </c>
      <c r="B40" s="9" t="s">
        <v>41</v>
      </c>
      <c r="C40" s="10">
        <f t="shared" si="0"/>
        <v>0</v>
      </c>
      <c r="D40" s="9">
        <v>3</v>
      </c>
      <c r="E40" s="9">
        <v>10</v>
      </c>
      <c r="F40" s="9"/>
      <c r="G40" s="9"/>
      <c r="H40" s="9"/>
      <c r="I40" s="9">
        <f t="shared" si="1"/>
        <v>10</v>
      </c>
      <c r="J40" s="9">
        <v>24</v>
      </c>
      <c r="K40" s="9">
        <v>13</v>
      </c>
      <c r="L40" s="11" t="s">
        <v>122</v>
      </c>
    </row>
    <row r="41" spans="1:12" ht="18.75" x14ac:dyDescent="0.3">
      <c r="A41" s="8">
        <v>139</v>
      </c>
      <c r="B41" s="9" t="s">
        <v>42</v>
      </c>
      <c r="C41" s="18">
        <v>18</v>
      </c>
      <c r="D41" s="9">
        <v>10</v>
      </c>
      <c r="E41" s="9">
        <v>8</v>
      </c>
      <c r="F41" s="9"/>
      <c r="G41" s="9"/>
      <c r="H41" s="9"/>
      <c r="I41" s="9">
        <f t="shared" si="1"/>
        <v>8</v>
      </c>
      <c r="J41" s="9">
        <v>12</v>
      </c>
      <c r="K41" s="9">
        <v>18</v>
      </c>
      <c r="L41" s="11" t="s">
        <v>123</v>
      </c>
    </row>
    <row r="42" spans="1:12" x14ac:dyDescent="0.25">
      <c r="A42" s="8">
        <v>141</v>
      </c>
      <c r="B42" s="9" t="s">
        <v>43</v>
      </c>
      <c r="C42" s="10">
        <f t="shared" si="0"/>
        <v>0</v>
      </c>
      <c r="D42" s="9">
        <v>10</v>
      </c>
      <c r="E42" s="9">
        <v>9</v>
      </c>
      <c r="F42" s="9">
        <v>4</v>
      </c>
      <c r="G42" s="9"/>
      <c r="H42" s="9"/>
      <c r="I42" s="9">
        <f t="shared" si="1"/>
        <v>13</v>
      </c>
      <c r="J42" s="9">
        <v>12</v>
      </c>
      <c r="K42" s="9">
        <v>40</v>
      </c>
      <c r="L42" s="11" t="s">
        <v>140</v>
      </c>
    </row>
    <row r="43" spans="1:12" x14ac:dyDescent="0.25">
      <c r="A43" s="8">
        <v>145</v>
      </c>
      <c r="B43" s="9" t="s">
        <v>44</v>
      </c>
      <c r="C43" s="10">
        <f t="shared" si="0"/>
        <v>0</v>
      </c>
      <c r="D43" s="9">
        <v>5</v>
      </c>
      <c r="E43" s="9">
        <v>18</v>
      </c>
      <c r="F43" s="9"/>
      <c r="G43" s="9"/>
      <c r="H43" s="9"/>
      <c r="I43" s="9">
        <f t="shared" si="1"/>
        <v>18</v>
      </c>
      <c r="J43" s="9">
        <v>12</v>
      </c>
      <c r="K43" s="9">
        <v>9</v>
      </c>
      <c r="L43" s="11" t="s">
        <v>135</v>
      </c>
    </row>
    <row r="44" spans="1:12" x14ac:dyDescent="0.25">
      <c r="A44" s="8">
        <v>147</v>
      </c>
      <c r="B44" s="9" t="s">
        <v>45</v>
      </c>
      <c r="C44" s="10">
        <f t="shared" si="0"/>
        <v>0</v>
      </c>
      <c r="D44" s="9">
        <v>5</v>
      </c>
      <c r="E44" s="9">
        <v>5</v>
      </c>
      <c r="F44" s="9">
        <v>9</v>
      </c>
      <c r="G44" s="9"/>
      <c r="H44" s="9"/>
      <c r="I44" s="9">
        <f t="shared" si="1"/>
        <v>14</v>
      </c>
      <c r="J44" s="9">
        <v>24</v>
      </c>
      <c r="K44" s="9">
        <v>9</v>
      </c>
      <c r="L44" s="11" t="s">
        <v>140</v>
      </c>
    </row>
    <row r="45" spans="1:12" x14ac:dyDescent="0.25">
      <c r="A45" s="8">
        <v>151</v>
      </c>
      <c r="B45" s="9" t="s">
        <v>46</v>
      </c>
      <c r="C45" s="10">
        <f t="shared" si="0"/>
        <v>0</v>
      </c>
      <c r="D45" s="9">
        <v>10</v>
      </c>
      <c r="E45" s="9">
        <v>14</v>
      </c>
      <c r="F45" s="9"/>
      <c r="G45" s="9"/>
      <c r="H45" s="9"/>
      <c r="I45" s="9">
        <f t="shared" si="1"/>
        <v>14</v>
      </c>
      <c r="J45" s="9">
        <v>12</v>
      </c>
      <c r="K45" s="9">
        <v>15</v>
      </c>
      <c r="L45" s="11" t="s">
        <v>123</v>
      </c>
    </row>
    <row r="46" spans="1:12" x14ac:dyDescent="0.25">
      <c r="A46" s="8">
        <v>152</v>
      </c>
      <c r="B46" s="9" t="s">
        <v>47</v>
      </c>
      <c r="C46" s="10">
        <f t="shared" si="0"/>
        <v>0</v>
      </c>
      <c r="D46" s="9">
        <v>27</v>
      </c>
      <c r="E46" s="9">
        <v>40</v>
      </c>
      <c r="F46" s="9"/>
      <c r="G46" s="9"/>
      <c r="H46" s="9"/>
      <c r="I46" s="9">
        <f t="shared" si="1"/>
        <v>40</v>
      </c>
      <c r="J46" s="9">
        <v>6</v>
      </c>
      <c r="K46" s="9">
        <v>42</v>
      </c>
      <c r="L46" s="11" t="s">
        <v>123</v>
      </c>
    </row>
    <row r="47" spans="1:12" x14ac:dyDescent="0.25">
      <c r="A47" s="8">
        <v>153</v>
      </c>
      <c r="B47" s="9" t="s">
        <v>48</v>
      </c>
      <c r="C47" s="10">
        <f t="shared" si="0"/>
        <v>0</v>
      </c>
      <c r="D47" s="9">
        <v>4</v>
      </c>
      <c r="E47" s="9">
        <v>4</v>
      </c>
      <c r="F47" s="9"/>
      <c r="G47" s="9"/>
      <c r="H47" s="9"/>
      <c r="I47" s="9">
        <f t="shared" si="1"/>
        <v>4</v>
      </c>
      <c r="J47" s="9">
        <v>24</v>
      </c>
      <c r="K47" s="9">
        <v>14</v>
      </c>
      <c r="L47" s="11" t="s">
        <v>122</v>
      </c>
    </row>
    <row r="48" spans="1:12" x14ac:dyDescent="0.25">
      <c r="A48" s="8">
        <v>159</v>
      </c>
      <c r="B48" s="9" t="s">
        <v>49</v>
      </c>
      <c r="C48" s="10">
        <f t="shared" si="0"/>
        <v>51</v>
      </c>
      <c r="D48" s="9">
        <v>27</v>
      </c>
      <c r="E48" s="9">
        <v>52</v>
      </c>
      <c r="F48" s="9"/>
      <c r="G48" s="9"/>
      <c r="H48" s="9">
        <f>912/12</f>
        <v>76</v>
      </c>
      <c r="I48" s="9">
        <f t="shared" si="1"/>
        <v>-24</v>
      </c>
      <c r="J48" s="9">
        <v>12</v>
      </c>
      <c r="K48" s="9">
        <v>18</v>
      </c>
      <c r="L48" s="11" t="s">
        <v>123</v>
      </c>
    </row>
    <row r="49" spans="1:12" x14ac:dyDescent="0.25">
      <c r="A49" s="8">
        <v>162</v>
      </c>
      <c r="B49" s="9" t="s">
        <v>50</v>
      </c>
      <c r="C49" s="10">
        <f t="shared" si="0"/>
        <v>0</v>
      </c>
      <c r="D49" s="9">
        <v>5</v>
      </c>
      <c r="E49" s="9">
        <v>18</v>
      </c>
      <c r="F49" s="9"/>
      <c r="G49" s="9"/>
      <c r="H49" s="9"/>
      <c r="I49" s="9">
        <f t="shared" si="1"/>
        <v>18</v>
      </c>
      <c r="J49" s="9">
        <v>12</v>
      </c>
      <c r="K49" s="9">
        <v>12</v>
      </c>
      <c r="L49" s="11" t="s">
        <v>119</v>
      </c>
    </row>
    <row r="50" spans="1:12" x14ac:dyDescent="0.25">
      <c r="A50" s="8">
        <v>167</v>
      </c>
      <c r="B50" s="9" t="s">
        <v>51</v>
      </c>
      <c r="C50" s="10">
        <f t="shared" si="0"/>
        <v>0</v>
      </c>
      <c r="D50" s="9">
        <v>10</v>
      </c>
      <c r="E50" s="9">
        <v>28</v>
      </c>
      <c r="F50" s="9"/>
      <c r="G50" s="9"/>
      <c r="H50" s="9"/>
      <c r="I50" s="9">
        <f t="shared" si="1"/>
        <v>28</v>
      </c>
      <c r="J50" s="9">
        <v>10</v>
      </c>
      <c r="K50" s="9">
        <v>10</v>
      </c>
      <c r="L50" s="11" t="s">
        <v>119</v>
      </c>
    </row>
    <row r="51" spans="1:12" x14ac:dyDescent="0.25">
      <c r="A51" s="8">
        <v>168</v>
      </c>
      <c r="B51" s="9" t="s">
        <v>52</v>
      </c>
      <c r="C51" s="10">
        <f t="shared" si="0"/>
        <v>0</v>
      </c>
      <c r="D51" s="9">
        <v>3</v>
      </c>
      <c r="E51" s="9">
        <v>12</v>
      </c>
      <c r="F51" s="9"/>
      <c r="G51" s="9"/>
      <c r="H51" s="9"/>
      <c r="I51" s="9">
        <f t="shared" si="1"/>
        <v>12</v>
      </c>
      <c r="J51" s="9">
        <v>12</v>
      </c>
      <c r="K51" s="9">
        <v>12</v>
      </c>
      <c r="L51" s="11" t="s">
        <v>119</v>
      </c>
    </row>
    <row r="52" spans="1:12" x14ac:dyDescent="0.25">
      <c r="A52" s="8">
        <v>172</v>
      </c>
      <c r="B52" s="9" t="s">
        <v>53</v>
      </c>
      <c r="C52" s="10">
        <f t="shared" si="0"/>
        <v>0</v>
      </c>
      <c r="D52" s="9">
        <v>1</v>
      </c>
      <c r="E52" s="9">
        <v>4</v>
      </c>
      <c r="F52" s="9"/>
      <c r="G52" s="9"/>
      <c r="H52" s="9"/>
      <c r="I52" s="9">
        <f t="shared" si="1"/>
        <v>4</v>
      </c>
      <c r="J52" s="9">
        <v>48</v>
      </c>
      <c r="K52" s="9">
        <v>10</v>
      </c>
      <c r="L52" s="11" t="s">
        <v>140</v>
      </c>
    </row>
    <row r="53" spans="1:12" x14ac:dyDescent="0.25">
      <c r="A53" s="8">
        <v>178</v>
      </c>
      <c r="B53" s="9" t="s">
        <v>54</v>
      </c>
      <c r="C53" s="10">
        <f t="shared" si="0"/>
        <v>2</v>
      </c>
      <c r="D53" s="9">
        <v>2</v>
      </c>
      <c r="E53" s="9">
        <v>2</v>
      </c>
      <c r="F53" s="9">
        <v>1</v>
      </c>
      <c r="G53" s="9"/>
      <c r="H53" s="9">
        <v>3</v>
      </c>
      <c r="I53" s="9">
        <f t="shared" si="1"/>
        <v>0</v>
      </c>
      <c r="J53" s="9">
        <v>4</v>
      </c>
      <c r="K53" s="9"/>
      <c r="L53" s="11" t="s">
        <v>117</v>
      </c>
    </row>
    <row r="54" spans="1:12" x14ac:dyDescent="0.25">
      <c r="A54" s="8">
        <v>182</v>
      </c>
      <c r="B54" s="9" t="s">
        <v>55</v>
      </c>
      <c r="C54" s="10">
        <f t="shared" si="0"/>
        <v>0</v>
      </c>
      <c r="D54" s="9">
        <v>4</v>
      </c>
      <c r="E54" s="9">
        <v>2</v>
      </c>
      <c r="F54" s="9">
        <v>2</v>
      </c>
      <c r="G54" s="9"/>
      <c r="H54" s="9"/>
      <c r="I54" s="9">
        <f t="shared" si="1"/>
        <v>4</v>
      </c>
      <c r="J54" s="9">
        <v>6</v>
      </c>
      <c r="K54" s="9">
        <v>20</v>
      </c>
      <c r="L54" s="11" t="s">
        <v>124</v>
      </c>
    </row>
    <row r="55" spans="1:12" x14ac:dyDescent="0.25">
      <c r="A55" s="8">
        <v>184</v>
      </c>
      <c r="B55" s="9" t="s">
        <v>56</v>
      </c>
      <c r="C55" s="10">
        <f t="shared" si="0"/>
        <v>0</v>
      </c>
      <c r="D55" s="9">
        <v>4</v>
      </c>
      <c r="E55" s="9">
        <v>7</v>
      </c>
      <c r="F55" s="9">
        <v>4</v>
      </c>
      <c r="G55" s="9"/>
      <c r="H55" s="9"/>
      <c r="I55" s="9">
        <f t="shared" si="1"/>
        <v>11</v>
      </c>
      <c r="J55" s="9">
        <v>6</v>
      </c>
      <c r="K55" s="9">
        <v>16</v>
      </c>
      <c r="L55" s="11" t="s">
        <v>124</v>
      </c>
    </row>
    <row r="56" spans="1:12" x14ac:dyDescent="0.25">
      <c r="A56" s="8">
        <v>187</v>
      </c>
      <c r="B56" s="9" t="s">
        <v>57</v>
      </c>
      <c r="C56" s="10">
        <f t="shared" si="0"/>
        <v>0</v>
      </c>
      <c r="D56" s="9">
        <v>2</v>
      </c>
      <c r="E56" s="9">
        <v>17</v>
      </c>
      <c r="F56" s="9"/>
      <c r="G56" s="9"/>
      <c r="H56" s="9"/>
      <c r="I56" s="9">
        <f t="shared" si="1"/>
        <v>17</v>
      </c>
      <c r="J56" s="9">
        <v>24</v>
      </c>
      <c r="K56" s="9">
        <v>13</v>
      </c>
      <c r="L56" s="13"/>
    </row>
    <row r="57" spans="1:12" x14ac:dyDescent="0.25">
      <c r="A57" s="8">
        <v>189</v>
      </c>
      <c r="B57" s="9" t="s">
        <v>58</v>
      </c>
      <c r="C57" s="10">
        <f t="shared" si="0"/>
        <v>3</v>
      </c>
      <c r="D57" s="9">
        <v>3</v>
      </c>
      <c r="E57" s="9">
        <v>16</v>
      </c>
      <c r="F57" s="9"/>
      <c r="G57" s="9">
        <v>16</v>
      </c>
      <c r="H57" s="9"/>
      <c r="I57" s="9">
        <f t="shared" si="1"/>
        <v>0</v>
      </c>
      <c r="J57" s="9">
        <v>12</v>
      </c>
      <c r="K57" s="9">
        <v>9</v>
      </c>
      <c r="L57" s="13"/>
    </row>
    <row r="58" spans="1:12" x14ac:dyDescent="0.25">
      <c r="A58" s="8">
        <v>206</v>
      </c>
      <c r="B58" s="9" t="s">
        <v>59</v>
      </c>
      <c r="C58" s="10">
        <f t="shared" si="0"/>
        <v>7</v>
      </c>
      <c r="D58" s="9">
        <v>9</v>
      </c>
      <c r="E58" s="9">
        <v>2</v>
      </c>
      <c r="F58" s="9"/>
      <c r="G58" s="9"/>
      <c r="H58" s="9"/>
      <c r="I58" s="9">
        <f t="shared" si="1"/>
        <v>2</v>
      </c>
      <c r="J58" s="9">
        <v>8</v>
      </c>
      <c r="K58" s="9">
        <v>9</v>
      </c>
      <c r="L58" s="11" t="s">
        <v>121</v>
      </c>
    </row>
    <row r="59" spans="1:12" x14ac:dyDescent="0.25">
      <c r="A59" s="8">
        <v>208</v>
      </c>
      <c r="B59" s="9" t="s">
        <v>60</v>
      </c>
      <c r="C59" s="10">
        <f t="shared" si="0"/>
        <v>0</v>
      </c>
      <c r="D59" s="9">
        <v>3</v>
      </c>
      <c r="E59" s="9">
        <v>11</v>
      </c>
      <c r="F59" s="9"/>
      <c r="G59" s="9"/>
      <c r="H59" s="9"/>
      <c r="I59" s="9">
        <f t="shared" si="1"/>
        <v>11</v>
      </c>
      <c r="J59" s="9">
        <v>22</v>
      </c>
      <c r="K59" s="9">
        <v>9</v>
      </c>
      <c r="L59" s="11" t="s">
        <v>118</v>
      </c>
    </row>
    <row r="60" spans="1:12" x14ac:dyDescent="0.25">
      <c r="A60" s="8">
        <v>209</v>
      </c>
      <c r="B60" s="9" t="s">
        <v>61</v>
      </c>
      <c r="C60" s="10">
        <f t="shared" si="0"/>
        <v>0</v>
      </c>
      <c r="D60" s="9">
        <v>3</v>
      </c>
      <c r="E60" s="9">
        <v>11</v>
      </c>
      <c r="F60" s="9"/>
      <c r="G60" s="9"/>
      <c r="H60" s="9"/>
      <c r="I60" s="9">
        <f t="shared" si="1"/>
        <v>11</v>
      </c>
      <c r="J60" s="9">
        <v>22</v>
      </c>
      <c r="K60" s="9">
        <v>9</v>
      </c>
      <c r="L60" s="11" t="s">
        <v>118</v>
      </c>
    </row>
    <row r="61" spans="1:12" ht="18.75" x14ac:dyDescent="0.3">
      <c r="A61" s="8">
        <v>211</v>
      </c>
      <c r="B61" s="9" t="s">
        <v>62</v>
      </c>
      <c r="C61" s="18">
        <v>36</v>
      </c>
      <c r="D61" s="9">
        <v>9</v>
      </c>
      <c r="E61" s="9">
        <v>5</v>
      </c>
      <c r="F61" s="9"/>
      <c r="G61" s="9"/>
      <c r="H61" s="9"/>
      <c r="I61" s="9">
        <f t="shared" si="1"/>
        <v>5</v>
      </c>
      <c r="J61" s="9">
        <v>4</v>
      </c>
      <c r="K61" s="9">
        <v>9</v>
      </c>
      <c r="L61" s="11"/>
    </row>
    <row r="62" spans="1:12" x14ac:dyDescent="0.25">
      <c r="A62" s="8">
        <v>212</v>
      </c>
      <c r="B62" s="9" t="s">
        <v>63</v>
      </c>
      <c r="C62" s="10">
        <f t="shared" si="0"/>
        <v>0</v>
      </c>
      <c r="D62" s="9">
        <v>9</v>
      </c>
      <c r="E62" s="9"/>
      <c r="F62" s="9"/>
      <c r="G62" s="9"/>
      <c r="H62" s="9"/>
      <c r="I62" s="9">
        <f t="shared" si="1"/>
        <v>0</v>
      </c>
      <c r="J62" s="9">
        <v>4</v>
      </c>
      <c r="K62" s="9">
        <v>10</v>
      </c>
      <c r="L62" s="11"/>
    </row>
    <row r="63" spans="1:12" x14ac:dyDescent="0.25">
      <c r="A63" s="8">
        <v>213</v>
      </c>
      <c r="B63" s="9" t="s">
        <v>64</v>
      </c>
      <c r="C63" s="10">
        <f t="shared" si="0"/>
        <v>0</v>
      </c>
      <c r="D63" s="9">
        <v>27</v>
      </c>
      <c r="E63" s="9">
        <v>42</v>
      </c>
      <c r="F63" s="9"/>
      <c r="G63" s="9"/>
      <c r="H63" s="9"/>
      <c r="I63" s="9">
        <f t="shared" si="1"/>
        <v>42</v>
      </c>
      <c r="J63" s="9">
        <v>9</v>
      </c>
      <c r="K63" s="9">
        <v>6</v>
      </c>
      <c r="L63" s="11" t="s">
        <v>120</v>
      </c>
    </row>
    <row r="64" spans="1:12" x14ac:dyDescent="0.25">
      <c r="A64" s="8">
        <v>219</v>
      </c>
      <c r="B64" s="9" t="s">
        <v>65</v>
      </c>
      <c r="C64" s="10">
        <f t="shared" si="0"/>
        <v>0</v>
      </c>
      <c r="D64" s="9">
        <v>5</v>
      </c>
      <c r="E64" s="9">
        <v>8</v>
      </c>
      <c r="F64" s="9"/>
      <c r="G64" s="9"/>
      <c r="H64" s="9"/>
      <c r="I64" s="9">
        <f t="shared" si="1"/>
        <v>8</v>
      </c>
      <c r="J64" s="9">
        <v>20</v>
      </c>
      <c r="K64" s="9">
        <v>14</v>
      </c>
      <c r="L64" s="11" t="s">
        <v>119</v>
      </c>
    </row>
    <row r="65" spans="1:12" x14ac:dyDescent="0.25">
      <c r="A65" s="8">
        <v>222</v>
      </c>
      <c r="B65" s="9" t="s">
        <v>66</v>
      </c>
      <c r="C65" s="10">
        <f t="shared" si="0"/>
        <v>0</v>
      </c>
      <c r="D65" s="9">
        <v>5</v>
      </c>
      <c r="E65" s="9">
        <v>19</v>
      </c>
      <c r="F65" s="9"/>
      <c r="G65" s="9"/>
      <c r="H65" s="9"/>
      <c r="I65" s="9">
        <f t="shared" si="1"/>
        <v>19</v>
      </c>
      <c r="J65" s="9">
        <v>48</v>
      </c>
      <c r="K65" s="9">
        <v>10</v>
      </c>
      <c r="L65" s="11" t="s">
        <v>121</v>
      </c>
    </row>
    <row r="66" spans="1:12" x14ac:dyDescent="0.25">
      <c r="A66" s="8">
        <v>223</v>
      </c>
      <c r="B66" s="9" t="s">
        <v>67</v>
      </c>
      <c r="C66" s="10">
        <f t="shared" si="0"/>
        <v>8</v>
      </c>
      <c r="D66" s="9">
        <v>27</v>
      </c>
      <c r="E66" s="9">
        <v>19</v>
      </c>
      <c r="F66" s="9"/>
      <c r="G66" s="9"/>
      <c r="H66" s="9"/>
      <c r="I66" s="9">
        <f t="shared" si="1"/>
        <v>19</v>
      </c>
      <c r="J66" s="9">
        <v>10</v>
      </c>
      <c r="K66" s="9">
        <v>9</v>
      </c>
      <c r="L66" s="11" t="s">
        <v>120</v>
      </c>
    </row>
    <row r="67" spans="1:12" x14ac:dyDescent="0.25">
      <c r="A67" s="8">
        <v>226</v>
      </c>
      <c r="B67" s="9" t="s">
        <v>68</v>
      </c>
      <c r="C67" s="10">
        <f t="shared" si="0"/>
        <v>0</v>
      </c>
      <c r="D67" s="9">
        <v>7</v>
      </c>
      <c r="E67" s="9">
        <v>19</v>
      </c>
      <c r="F67" s="9"/>
      <c r="G67" s="9"/>
      <c r="H67" s="9"/>
      <c r="I67" s="9">
        <f t="shared" si="1"/>
        <v>19</v>
      </c>
      <c r="J67" s="9">
        <v>24</v>
      </c>
      <c r="K67" s="9">
        <v>7</v>
      </c>
      <c r="L67" s="11" t="s">
        <v>121</v>
      </c>
    </row>
    <row r="68" spans="1:12" x14ac:dyDescent="0.25">
      <c r="A68" s="8">
        <v>228</v>
      </c>
      <c r="B68" s="9" t="s">
        <v>69</v>
      </c>
      <c r="C68" s="10">
        <f t="shared" si="0"/>
        <v>0</v>
      </c>
      <c r="D68" s="9">
        <v>26</v>
      </c>
      <c r="E68" s="9">
        <v>24</v>
      </c>
      <c r="F68" s="9">
        <v>65</v>
      </c>
      <c r="G68" s="9"/>
      <c r="H68" s="9"/>
      <c r="I68" s="9">
        <f t="shared" si="1"/>
        <v>89</v>
      </c>
      <c r="J68" s="9">
        <v>12</v>
      </c>
      <c r="K68" s="9">
        <v>13</v>
      </c>
      <c r="L68" s="11"/>
    </row>
    <row r="69" spans="1:12" x14ac:dyDescent="0.25">
      <c r="A69" s="8">
        <v>231</v>
      </c>
      <c r="B69" s="9" t="s">
        <v>70</v>
      </c>
      <c r="C69" s="10">
        <f t="shared" ref="C69:C82" si="2">IF(AND(D69&gt;I69,E69+F69+G69+H69&lt;&gt;0),D69-I69,0)</f>
        <v>0</v>
      </c>
      <c r="D69" s="9">
        <v>9</v>
      </c>
      <c r="E69" s="9">
        <v>6</v>
      </c>
      <c r="F69" s="9">
        <v>9</v>
      </c>
      <c r="G69" s="9"/>
      <c r="H69" s="9"/>
      <c r="I69" s="9">
        <f t="shared" ref="I69:I82" si="3">E69+F69-(G69+H69)</f>
        <v>15</v>
      </c>
      <c r="J69" s="9">
        <v>16</v>
      </c>
      <c r="K69" s="9">
        <v>9</v>
      </c>
      <c r="L69" s="11" t="s">
        <v>124</v>
      </c>
    </row>
    <row r="70" spans="1:12" x14ac:dyDescent="0.25">
      <c r="A70" s="8">
        <v>234</v>
      </c>
      <c r="B70" s="9" t="s">
        <v>71</v>
      </c>
      <c r="C70" s="10">
        <f t="shared" si="2"/>
        <v>0</v>
      </c>
      <c r="D70" s="9">
        <v>5</v>
      </c>
      <c r="E70" s="9"/>
      <c r="F70" s="9"/>
      <c r="G70" s="9"/>
      <c r="H70" s="9"/>
      <c r="I70" s="9">
        <f t="shared" si="3"/>
        <v>0</v>
      </c>
      <c r="J70" s="9">
        <v>24</v>
      </c>
      <c r="K70" s="9">
        <v>12</v>
      </c>
      <c r="L70" s="11" t="s">
        <v>121</v>
      </c>
    </row>
    <row r="71" spans="1:12" x14ac:dyDescent="0.25">
      <c r="A71" s="8">
        <v>267</v>
      </c>
      <c r="B71" s="9" t="s">
        <v>150</v>
      </c>
      <c r="C71" s="10">
        <f t="shared" si="2"/>
        <v>0</v>
      </c>
      <c r="D71" s="9">
        <v>20</v>
      </c>
      <c r="E71" s="9">
        <v>5</v>
      </c>
      <c r="F71" s="9">
        <v>20</v>
      </c>
      <c r="G71" s="9"/>
      <c r="H71" s="9"/>
      <c r="I71" s="9">
        <f t="shared" si="3"/>
        <v>25</v>
      </c>
      <c r="J71" s="9"/>
      <c r="K71" s="9"/>
      <c r="L71" s="11" t="s">
        <v>117</v>
      </c>
    </row>
    <row r="72" spans="1:12" x14ac:dyDescent="0.25">
      <c r="A72" s="8">
        <v>286</v>
      </c>
      <c r="B72" s="9" t="s">
        <v>72</v>
      </c>
      <c r="C72" s="10">
        <f t="shared" si="2"/>
        <v>0</v>
      </c>
      <c r="D72" s="9">
        <v>1</v>
      </c>
      <c r="E72" s="9">
        <v>4</v>
      </c>
      <c r="F72" s="9"/>
      <c r="G72" s="9"/>
      <c r="H72" s="9"/>
      <c r="I72" s="9">
        <f t="shared" si="3"/>
        <v>4</v>
      </c>
      <c r="J72" s="9">
        <v>12</v>
      </c>
      <c r="K72" s="9">
        <v>12</v>
      </c>
      <c r="L72" s="11" t="s">
        <v>115</v>
      </c>
    </row>
    <row r="73" spans="1:12" x14ac:dyDescent="0.25">
      <c r="A73" s="8">
        <v>289</v>
      </c>
      <c r="B73" s="9" t="s">
        <v>73</v>
      </c>
      <c r="C73" s="10">
        <f t="shared" si="2"/>
        <v>0</v>
      </c>
      <c r="D73" s="9">
        <v>2</v>
      </c>
      <c r="E73" s="9">
        <v>19</v>
      </c>
      <c r="F73" s="9"/>
      <c r="G73" s="9"/>
      <c r="H73" s="9"/>
      <c r="I73" s="9">
        <f t="shared" si="3"/>
        <v>19</v>
      </c>
      <c r="J73" s="9">
        <v>12</v>
      </c>
      <c r="K73" s="9">
        <v>12</v>
      </c>
      <c r="L73" s="11" t="s">
        <v>115</v>
      </c>
    </row>
    <row r="74" spans="1:12" x14ac:dyDescent="0.25">
      <c r="A74" s="8">
        <v>292</v>
      </c>
      <c r="B74" s="9" t="s">
        <v>74</v>
      </c>
      <c r="C74" s="10">
        <f t="shared" si="2"/>
        <v>5</v>
      </c>
      <c r="D74" s="9">
        <v>20</v>
      </c>
      <c r="E74" s="9">
        <v>2</v>
      </c>
      <c r="F74" s="9">
        <v>13</v>
      </c>
      <c r="G74" s="9"/>
      <c r="H74" s="9"/>
      <c r="I74" s="9">
        <f t="shared" si="3"/>
        <v>15</v>
      </c>
      <c r="J74" s="9"/>
      <c r="K74" s="9"/>
      <c r="L74" s="11" t="s">
        <v>117</v>
      </c>
    </row>
    <row r="75" spans="1:12" x14ac:dyDescent="0.25">
      <c r="A75" s="8">
        <v>298</v>
      </c>
      <c r="B75" s="9" t="s">
        <v>75</v>
      </c>
      <c r="C75" s="10">
        <f t="shared" si="2"/>
        <v>0</v>
      </c>
      <c r="D75" s="9">
        <v>20</v>
      </c>
      <c r="E75" s="9">
        <v>15</v>
      </c>
      <c r="F75" s="9">
        <v>12</v>
      </c>
      <c r="G75" s="9"/>
      <c r="H75" s="9"/>
      <c r="I75" s="9">
        <f t="shared" si="3"/>
        <v>27</v>
      </c>
      <c r="J75" s="9"/>
      <c r="K75" s="9"/>
      <c r="L75" s="11" t="s">
        <v>117</v>
      </c>
    </row>
    <row r="76" spans="1:12" x14ac:dyDescent="0.25">
      <c r="A76" s="8">
        <v>305</v>
      </c>
      <c r="B76" s="9" t="s">
        <v>76</v>
      </c>
      <c r="C76" s="10">
        <f t="shared" si="2"/>
        <v>0</v>
      </c>
      <c r="D76" s="9">
        <v>20</v>
      </c>
      <c r="E76" s="9">
        <v>16</v>
      </c>
      <c r="F76" s="9">
        <v>20</v>
      </c>
      <c r="G76" s="9"/>
      <c r="H76" s="9"/>
      <c r="I76" s="9">
        <f t="shared" si="3"/>
        <v>36</v>
      </c>
      <c r="J76" s="9">
        <v>14</v>
      </c>
      <c r="K76" s="9"/>
      <c r="L76" s="11" t="s">
        <v>3</v>
      </c>
    </row>
    <row r="77" spans="1:12" x14ac:dyDescent="0.25">
      <c r="A77" s="8">
        <v>310</v>
      </c>
      <c r="B77" s="9" t="s">
        <v>77</v>
      </c>
      <c r="C77" s="10">
        <f t="shared" si="2"/>
        <v>0</v>
      </c>
      <c r="D77" s="9">
        <v>10</v>
      </c>
      <c r="E77" s="9">
        <v>13</v>
      </c>
      <c r="F77" s="9"/>
      <c r="G77" s="9"/>
      <c r="H77" s="9"/>
      <c r="I77" s="9">
        <f t="shared" si="3"/>
        <v>13</v>
      </c>
      <c r="J77" s="9">
        <v>14</v>
      </c>
      <c r="K77" s="9"/>
      <c r="L77" s="11" t="s">
        <v>3</v>
      </c>
    </row>
    <row r="78" spans="1:12" x14ac:dyDescent="0.25">
      <c r="A78" s="8">
        <v>313</v>
      </c>
      <c r="B78" s="9" t="s">
        <v>78</v>
      </c>
      <c r="C78" s="10">
        <f t="shared" si="2"/>
        <v>0</v>
      </c>
      <c r="D78" s="9">
        <v>20</v>
      </c>
      <c r="E78" s="9">
        <v>10</v>
      </c>
      <c r="F78" s="9">
        <v>10</v>
      </c>
      <c r="G78" s="9"/>
      <c r="H78" s="9"/>
      <c r="I78" s="9">
        <f t="shared" si="3"/>
        <v>20</v>
      </c>
      <c r="J78" s="9">
        <v>8</v>
      </c>
      <c r="K78" s="9"/>
      <c r="L78" s="11" t="s">
        <v>3</v>
      </c>
    </row>
    <row r="79" spans="1:12" x14ac:dyDescent="0.25">
      <c r="A79" s="8">
        <v>320</v>
      </c>
      <c r="B79" s="9" t="s">
        <v>79</v>
      </c>
      <c r="C79" s="10">
        <f t="shared" si="2"/>
        <v>0</v>
      </c>
      <c r="D79" s="9">
        <v>10</v>
      </c>
      <c r="E79" s="9">
        <v>13</v>
      </c>
      <c r="F79" s="9">
        <v>10</v>
      </c>
      <c r="G79" s="9"/>
      <c r="H79" s="9"/>
      <c r="I79" s="9">
        <f t="shared" si="3"/>
        <v>23</v>
      </c>
      <c r="J79" s="9">
        <v>15</v>
      </c>
      <c r="K79" s="9"/>
      <c r="L79" s="11" t="s">
        <v>3</v>
      </c>
    </row>
    <row r="80" spans="1:12" x14ac:dyDescent="0.25">
      <c r="A80" s="8">
        <v>325</v>
      </c>
      <c r="B80" s="9" t="s">
        <v>80</v>
      </c>
      <c r="C80" s="10">
        <f t="shared" si="2"/>
        <v>0</v>
      </c>
      <c r="D80" s="9">
        <v>15</v>
      </c>
      <c r="E80" s="9">
        <v>10</v>
      </c>
      <c r="F80" s="9">
        <v>10</v>
      </c>
      <c r="G80" s="9"/>
      <c r="H80" s="9"/>
      <c r="I80" s="9">
        <f t="shared" si="3"/>
        <v>20</v>
      </c>
      <c r="J80" s="9">
        <v>10</v>
      </c>
      <c r="K80" s="9"/>
      <c r="L80" s="11" t="s">
        <v>3</v>
      </c>
    </row>
    <row r="81" spans="1:12" x14ac:dyDescent="0.25">
      <c r="A81" s="8">
        <v>329</v>
      </c>
      <c r="B81" s="9" t="s">
        <v>81</v>
      </c>
      <c r="C81" s="10">
        <f t="shared" si="2"/>
        <v>2</v>
      </c>
      <c r="D81" s="9">
        <v>20</v>
      </c>
      <c r="E81" s="9">
        <v>8</v>
      </c>
      <c r="F81" s="9">
        <v>10</v>
      </c>
      <c r="G81" s="9"/>
      <c r="H81" s="9"/>
      <c r="I81" s="9">
        <f t="shared" si="3"/>
        <v>18</v>
      </c>
      <c r="J81" s="9">
        <v>14</v>
      </c>
      <c r="K81" s="9"/>
      <c r="L81" s="11" t="s">
        <v>3</v>
      </c>
    </row>
    <row r="82" spans="1:12" x14ac:dyDescent="0.25">
      <c r="A82" s="8">
        <v>331</v>
      </c>
      <c r="B82" s="9" t="s">
        <v>82</v>
      </c>
      <c r="C82" s="10">
        <f t="shared" si="2"/>
        <v>0</v>
      </c>
      <c r="D82" s="9">
        <v>20</v>
      </c>
      <c r="E82" s="9">
        <v>27</v>
      </c>
      <c r="F82" s="9">
        <v>20</v>
      </c>
      <c r="G82" s="9"/>
      <c r="H82" s="9"/>
      <c r="I82" s="9">
        <f t="shared" si="3"/>
        <v>47</v>
      </c>
      <c r="J82" s="9">
        <v>10</v>
      </c>
      <c r="K82" s="9"/>
      <c r="L82" s="11" t="s">
        <v>3</v>
      </c>
    </row>
    <row r="83" spans="1:12" x14ac:dyDescent="0.25">
      <c r="A83" s="8">
        <v>336</v>
      </c>
      <c r="B83" s="9" t="s">
        <v>4</v>
      </c>
      <c r="C83" s="10">
        <f t="shared" ref="C83" si="4">IF(AND(D83&gt;I83,E83+F83+G83+H83&lt;&gt;0),D83-I83,0)</f>
        <v>0</v>
      </c>
      <c r="D83" s="9"/>
      <c r="E83" s="9"/>
      <c r="F83" s="9"/>
      <c r="G83" s="9"/>
      <c r="H83" s="9"/>
      <c r="I83" s="9">
        <f t="shared" ref="I83" si="5">E83+F83-(G83+H83)</f>
        <v>0</v>
      </c>
      <c r="J83" s="9">
        <v>4</v>
      </c>
      <c r="K83" s="9">
        <v>1</v>
      </c>
      <c r="L83" s="11" t="s">
        <v>3</v>
      </c>
    </row>
    <row r="84" spans="1:12" x14ac:dyDescent="0.25">
      <c r="A84" s="8">
        <v>343</v>
      </c>
      <c r="B84" s="9" t="s">
        <v>83</v>
      </c>
      <c r="C84" s="10">
        <f t="shared" ref="C84:C115" si="6">IF(AND(D84&gt;I84,E84+F84+G84+H84&lt;&gt;0),D84-I84,0)</f>
        <v>0</v>
      </c>
      <c r="D84" s="9">
        <v>10</v>
      </c>
      <c r="E84" s="9">
        <v>6</v>
      </c>
      <c r="F84" s="9">
        <v>10</v>
      </c>
      <c r="G84" s="9"/>
      <c r="H84" s="9"/>
      <c r="I84" s="9">
        <f t="shared" ref="I84:I115" si="7">E84+F84-(G84+H84)</f>
        <v>16</v>
      </c>
      <c r="J84" s="9">
        <v>27</v>
      </c>
      <c r="K84" s="9"/>
      <c r="L84" s="11" t="s">
        <v>3</v>
      </c>
    </row>
    <row r="85" spans="1:12" x14ac:dyDescent="0.25">
      <c r="A85" s="8">
        <v>345</v>
      </c>
      <c r="B85" s="9" t="s">
        <v>84</v>
      </c>
      <c r="C85" s="10">
        <f t="shared" si="6"/>
        <v>0</v>
      </c>
      <c r="D85" s="9"/>
      <c r="E85" s="9"/>
      <c r="F85" s="9">
        <v>45</v>
      </c>
      <c r="G85" s="9"/>
      <c r="H85" s="9"/>
      <c r="I85" s="9">
        <f t="shared" si="7"/>
        <v>45</v>
      </c>
      <c r="J85" s="9">
        <v>6</v>
      </c>
      <c r="K85" s="9">
        <v>15</v>
      </c>
      <c r="L85" s="11" t="s">
        <v>141</v>
      </c>
    </row>
    <row r="86" spans="1:12" x14ac:dyDescent="0.25">
      <c r="A86" s="8">
        <v>350</v>
      </c>
      <c r="B86" s="9" t="s">
        <v>85</v>
      </c>
      <c r="C86" s="10">
        <f t="shared" si="6"/>
        <v>0</v>
      </c>
      <c r="D86" s="9">
        <v>10</v>
      </c>
      <c r="E86" s="9">
        <v>51</v>
      </c>
      <c r="F86" s="9"/>
      <c r="G86" s="9"/>
      <c r="H86" s="9"/>
      <c r="I86" s="9">
        <f t="shared" si="7"/>
        <v>51</v>
      </c>
      <c r="J86" s="9">
        <v>12</v>
      </c>
      <c r="K86" s="9">
        <v>9</v>
      </c>
      <c r="L86" s="11" t="s">
        <v>142</v>
      </c>
    </row>
    <row r="87" spans="1:12" x14ac:dyDescent="0.25">
      <c r="A87" s="8">
        <v>351</v>
      </c>
      <c r="B87" s="9" t="s">
        <v>86</v>
      </c>
      <c r="C87" s="10">
        <f t="shared" si="6"/>
        <v>0</v>
      </c>
      <c r="D87" s="9">
        <v>5</v>
      </c>
      <c r="E87" s="9">
        <v>7</v>
      </c>
      <c r="F87" s="9"/>
      <c r="G87" s="9"/>
      <c r="H87" s="9"/>
      <c r="I87" s="9">
        <f t="shared" si="7"/>
        <v>7</v>
      </c>
      <c r="J87" s="9">
        <v>24</v>
      </c>
      <c r="K87" s="9">
        <v>9</v>
      </c>
      <c r="L87" s="11" t="s">
        <v>141</v>
      </c>
    </row>
    <row r="88" spans="1:12" x14ac:dyDescent="0.25">
      <c r="A88" s="8">
        <v>354</v>
      </c>
      <c r="B88" s="9" t="s">
        <v>87</v>
      </c>
      <c r="C88" s="10">
        <f t="shared" si="6"/>
        <v>0</v>
      </c>
      <c r="D88" s="9">
        <v>18</v>
      </c>
      <c r="E88" s="9">
        <v>64</v>
      </c>
      <c r="F88" s="9"/>
      <c r="G88" s="9"/>
      <c r="H88" s="9"/>
      <c r="I88" s="9">
        <f t="shared" si="7"/>
        <v>64</v>
      </c>
      <c r="J88" s="9">
        <v>12</v>
      </c>
      <c r="K88" s="9">
        <v>17</v>
      </c>
      <c r="L88" s="11" t="s">
        <v>141</v>
      </c>
    </row>
    <row r="89" spans="1:12" x14ac:dyDescent="0.25">
      <c r="A89" s="8">
        <v>357</v>
      </c>
      <c r="B89" s="9" t="s">
        <v>88</v>
      </c>
      <c r="C89" s="10">
        <f t="shared" si="6"/>
        <v>0</v>
      </c>
      <c r="D89" s="9">
        <v>18</v>
      </c>
      <c r="E89" s="9">
        <v>39</v>
      </c>
      <c r="F89" s="9"/>
      <c r="G89" s="9"/>
      <c r="H89" s="9"/>
      <c r="I89" s="9">
        <f t="shared" si="7"/>
        <v>39</v>
      </c>
      <c r="J89" s="9">
        <v>10</v>
      </c>
      <c r="K89" s="9">
        <v>12</v>
      </c>
      <c r="L89" s="11" t="s">
        <v>142</v>
      </c>
    </row>
    <row r="90" spans="1:12" ht="18.75" x14ac:dyDescent="0.3">
      <c r="A90" s="8">
        <v>359</v>
      </c>
      <c r="B90" s="9" t="s">
        <v>89</v>
      </c>
      <c r="C90" s="18">
        <v>48</v>
      </c>
      <c r="D90" s="9">
        <v>27</v>
      </c>
      <c r="E90" s="9">
        <v>64</v>
      </c>
      <c r="F90" s="9"/>
      <c r="G90" s="9"/>
      <c r="H90" s="9"/>
      <c r="I90" s="9">
        <f t="shared" si="7"/>
        <v>64</v>
      </c>
      <c r="J90" s="9">
        <v>6</v>
      </c>
      <c r="K90" s="9">
        <v>12</v>
      </c>
      <c r="L90" s="11" t="s">
        <v>143</v>
      </c>
    </row>
    <row r="91" spans="1:12" x14ac:dyDescent="0.25">
      <c r="A91" s="8">
        <v>362</v>
      </c>
      <c r="B91" s="9" t="s">
        <v>90</v>
      </c>
      <c r="C91" s="10">
        <f t="shared" si="6"/>
        <v>0</v>
      </c>
      <c r="D91" s="9">
        <v>8</v>
      </c>
      <c r="E91" s="9">
        <v>9</v>
      </c>
      <c r="F91" s="9"/>
      <c r="G91" s="9"/>
      <c r="H91" s="9"/>
      <c r="I91" s="9">
        <f t="shared" si="7"/>
        <v>9</v>
      </c>
      <c r="J91" s="9">
        <v>4</v>
      </c>
      <c r="K91" s="9">
        <v>13</v>
      </c>
      <c r="L91" s="11" t="s">
        <v>124</v>
      </c>
    </row>
    <row r="92" spans="1:12" x14ac:dyDescent="0.25">
      <c r="A92" s="8">
        <v>363</v>
      </c>
      <c r="B92" s="9" t="s">
        <v>91</v>
      </c>
      <c r="C92" s="10">
        <f t="shared" si="6"/>
        <v>0</v>
      </c>
      <c r="D92" s="9">
        <v>26</v>
      </c>
      <c r="E92" s="9">
        <v>41</v>
      </c>
      <c r="F92" s="9"/>
      <c r="G92" s="9"/>
      <c r="H92" s="9"/>
      <c r="I92" s="9">
        <f t="shared" si="7"/>
        <v>41</v>
      </c>
      <c r="J92" s="9">
        <v>12</v>
      </c>
      <c r="K92" s="9">
        <v>26</v>
      </c>
      <c r="L92" s="11" t="s">
        <v>142</v>
      </c>
    </row>
    <row r="93" spans="1:12" x14ac:dyDescent="0.25">
      <c r="A93" s="8">
        <v>365</v>
      </c>
      <c r="B93" s="9" t="s">
        <v>92</v>
      </c>
      <c r="C93" s="10">
        <f t="shared" si="6"/>
        <v>0</v>
      </c>
      <c r="D93" s="9">
        <v>8</v>
      </c>
      <c r="E93" s="9">
        <v>40</v>
      </c>
      <c r="F93" s="9"/>
      <c r="G93" s="9"/>
      <c r="H93" s="9"/>
      <c r="I93" s="9">
        <f t="shared" si="7"/>
        <v>40</v>
      </c>
      <c r="J93" s="9">
        <v>4</v>
      </c>
      <c r="K93" s="9">
        <v>10</v>
      </c>
      <c r="L93" s="11" t="s">
        <v>124</v>
      </c>
    </row>
    <row r="94" spans="1:12" x14ac:dyDescent="0.25">
      <c r="A94" s="8">
        <v>366</v>
      </c>
      <c r="B94" s="9" t="s">
        <v>93</v>
      </c>
      <c r="C94" s="10">
        <f t="shared" si="6"/>
        <v>2</v>
      </c>
      <c r="D94" s="9">
        <v>10</v>
      </c>
      <c r="E94" s="9">
        <v>8</v>
      </c>
      <c r="F94" s="9"/>
      <c r="G94" s="9"/>
      <c r="H94" s="9"/>
      <c r="I94" s="9">
        <f t="shared" si="7"/>
        <v>8</v>
      </c>
      <c r="J94" s="9">
        <v>4</v>
      </c>
      <c r="K94" s="9">
        <v>10</v>
      </c>
      <c r="L94" s="11" t="s">
        <v>124</v>
      </c>
    </row>
    <row r="95" spans="1:12" x14ac:dyDescent="0.25">
      <c r="A95" s="8">
        <v>369</v>
      </c>
      <c r="B95" s="9" t="s">
        <v>94</v>
      </c>
      <c r="C95" s="10">
        <f t="shared" si="6"/>
        <v>0</v>
      </c>
      <c r="D95" s="9">
        <v>4</v>
      </c>
      <c r="E95" s="9">
        <v>9</v>
      </c>
      <c r="F95" s="9"/>
      <c r="G95" s="9"/>
      <c r="H95" s="9"/>
      <c r="I95" s="9">
        <f t="shared" si="7"/>
        <v>9</v>
      </c>
      <c r="J95" s="9">
        <v>35</v>
      </c>
      <c r="K95" s="9">
        <v>17</v>
      </c>
      <c r="L95" s="11" t="s">
        <v>141</v>
      </c>
    </row>
    <row r="96" spans="1:12" x14ac:dyDescent="0.25">
      <c r="A96" s="8">
        <v>370</v>
      </c>
      <c r="B96" s="9" t="s">
        <v>95</v>
      </c>
      <c r="C96" s="10">
        <f t="shared" si="6"/>
        <v>0</v>
      </c>
      <c r="D96" s="9">
        <v>16</v>
      </c>
      <c r="E96" s="9">
        <v>42</v>
      </c>
      <c r="F96" s="9">
        <v>60</v>
      </c>
      <c r="G96" s="9"/>
      <c r="H96" s="9">
        <v>24</v>
      </c>
      <c r="I96" s="9">
        <f t="shared" si="7"/>
        <v>78</v>
      </c>
      <c r="J96" s="9">
        <v>12</v>
      </c>
      <c r="K96" s="9">
        <v>15</v>
      </c>
      <c r="L96" s="11" t="s">
        <v>124</v>
      </c>
    </row>
    <row r="97" spans="1:12" x14ac:dyDescent="0.25">
      <c r="A97" s="8">
        <v>371</v>
      </c>
      <c r="B97" s="9" t="s">
        <v>96</v>
      </c>
      <c r="C97" s="10">
        <f t="shared" si="6"/>
        <v>0</v>
      </c>
      <c r="D97" s="9">
        <v>6</v>
      </c>
      <c r="E97" s="9">
        <v>82</v>
      </c>
      <c r="F97" s="9"/>
      <c r="G97" s="9"/>
      <c r="H97" s="9"/>
      <c r="I97" s="9">
        <f t="shared" si="7"/>
        <v>82</v>
      </c>
      <c r="J97" s="9">
        <v>24</v>
      </c>
      <c r="K97" s="9">
        <v>21</v>
      </c>
      <c r="L97" s="11" t="s">
        <v>142</v>
      </c>
    </row>
    <row r="98" spans="1:12" x14ac:dyDescent="0.25">
      <c r="A98" s="8">
        <v>390</v>
      </c>
      <c r="B98" s="9" t="s">
        <v>97</v>
      </c>
      <c r="C98" s="10">
        <f t="shared" si="6"/>
        <v>0</v>
      </c>
      <c r="D98" s="9">
        <v>4</v>
      </c>
      <c r="E98" s="9">
        <v>18</v>
      </c>
      <c r="F98" s="9"/>
      <c r="G98" s="9"/>
      <c r="H98" s="9"/>
      <c r="I98" s="9">
        <f t="shared" si="7"/>
        <v>18</v>
      </c>
      <c r="J98" s="9">
        <v>24</v>
      </c>
      <c r="K98" s="9">
        <v>16</v>
      </c>
      <c r="L98" s="11" t="s">
        <v>141</v>
      </c>
    </row>
    <row r="99" spans="1:12" x14ac:dyDescent="0.25">
      <c r="A99" s="8">
        <v>395</v>
      </c>
      <c r="B99" s="9" t="s">
        <v>98</v>
      </c>
      <c r="C99" s="10">
        <f t="shared" si="6"/>
        <v>0</v>
      </c>
      <c r="D99" s="9">
        <v>10</v>
      </c>
      <c r="E99" s="9">
        <v>22</v>
      </c>
      <c r="F99" s="9"/>
      <c r="G99" s="9"/>
      <c r="H99" s="9"/>
      <c r="I99" s="9">
        <f t="shared" si="7"/>
        <v>22</v>
      </c>
      <c r="J99" s="9">
        <v>36</v>
      </c>
      <c r="K99" s="9">
        <v>18</v>
      </c>
      <c r="L99" s="11" t="s">
        <v>141</v>
      </c>
    </row>
    <row r="100" spans="1:12" x14ac:dyDescent="0.25">
      <c r="A100" s="8">
        <v>399</v>
      </c>
      <c r="B100" s="9" t="s">
        <v>151</v>
      </c>
      <c r="C100" s="10">
        <f t="shared" si="6"/>
        <v>0</v>
      </c>
      <c r="D100" s="9">
        <v>3</v>
      </c>
      <c r="E100" s="9">
        <v>29</v>
      </c>
      <c r="F100" s="9">
        <v>54</v>
      </c>
      <c r="G100" s="9"/>
      <c r="H100" s="9">
        <v>15.5</v>
      </c>
      <c r="I100" s="9">
        <f t="shared" si="7"/>
        <v>67.5</v>
      </c>
      <c r="J100" s="9">
        <v>12</v>
      </c>
      <c r="K100" s="9">
        <v>9</v>
      </c>
      <c r="L100" s="11" t="s">
        <v>143</v>
      </c>
    </row>
    <row r="101" spans="1:12" x14ac:dyDescent="0.25">
      <c r="A101" s="8">
        <v>406</v>
      </c>
      <c r="B101" s="9" t="s">
        <v>99</v>
      </c>
      <c r="C101" s="10">
        <f t="shared" si="6"/>
        <v>0</v>
      </c>
      <c r="D101" s="9">
        <v>5</v>
      </c>
      <c r="E101" s="9">
        <v>12</v>
      </c>
      <c r="F101" s="9"/>
      <c r="G101" s="9"/>
      <c r="H101" s="9"/>
      <c r="I101" s="9">
        <f t="shared" si="7"/>
        <v>12</v>
      </c>
      <c r="J101" s="9">
        <v>6</v>
      </c>
      <c r="K101" s="9">
        <v>28</v>
      </c>
      <c r="L101" s="11" t="s">
        <v>143</v>
      </c>
    </row>
    <row r="102" spans="1:12" x14ac:dyDescent="0.25">
      <c r="A102" s="8">
        <v>407</v>
      </c>
      <c r="B102" s="9" t="s">
        <v>100</v>
      </c>
      <c r="C102" s="10">
        <f t="shared" si="6"/>
        <v>0</v>
      </c>
      <c r="D102" s="9">
        <v>5</v>
      </c>
      <c r="E102" s="9">
        <v>12</v>
      </c>
      <c r="F102" s="9"/>
      <c r="G102" s="9"/>
      <c r="H102" s="9"/>
      <c r="I102" s="9">
        <f t="shared" si="7"/>
        <v>12</v>
      </c>
      <c r="J102" s="9">
        <v>6</v>
      </c>
      <c r="K102" s="9">
        <v>24</v>
      </c>
      <c r="L102" s="11" t="s">
        <v>143</v>
      </c>
    </row>
    <row r="103" spans="1:12" x14ac:dyDescent="0.25">
      <c r="A103" s="8">
        <v>411</v>
      </c>
      <c r="B103" s="9"/>
      <c r="C103" s="10">
        <f t="shared" si="6"/>
        <v>0</v>
      </c>
      <c r="D103" s="9"/>
      <c r="E103" s="9"/>
      <c r="F103" s="9"/>
      <c r="G103" s="9"/>
      <c r="H103" s="9"/>
      <c r="I103" s="9">
        <f t="shared" si="7"/>
        <v>0</v>
      </c>
      <c r="J103" s="9"/>
      <c r="K103" s="9"/>
      <c r="L103" s="11"/>
    </row>
    <row r="104" spans="1:12" x14ac:dyDescent="0.25">
      <c r="A104" s="8">
        <v>415</v>
      </c>
      <c r="B104" s="9" t="s">
        <v>101</v>
      </c>
      <c r="C104" s="10">
        <f t="shared" si="6"/>
        <v>0</v>
      </c>
      <c r="D104" s="9">
        <v>10</v>
      </c>
      <c r="E104" s="9">
        <v>8</v>
      </c>
      <c r="F104" s="9">
        <v>10</v>
      </c>
      <c r="G104" s="9"/>
      <c r="H104" s="9"/>
      <c r="I104" s="9">
        <f t="shared" si="7"/>
        <v>18</v>
      </c>
      <c r="J104" s="9">
        <v>12</v>
      </c>
      <c r="K104" s="9">
        <v>40</v>
      </c>
      <c r="L104" s="11" t="s">
        <v>142</v>
      </c>
    </row>
    <row r="105" spans="1:12" x14ac:dyDescent="0.25">
      <c r="A105" s="8">
        <v>416</v>
      </c>
      <c r="B105" s="9" t="s">
        <v>102</v>
      </c>
      <c r="C105" s="10">
        <f t="shared" si="6"/>
        <v>0</v>
      </c>
      <c r="D105" s="9">
        <v>10</v>
      </c>
      <c r="E105" s="9">
        <v>15</v>
      </c>
      <c r="F105" s="9"/>
      <c r="G105" s="9"/>
      <c r="H105" s="9"/>
      <c r="I105" s="9">
        <f t="shared" si="7"/>
        <v>15</v>
      </c>
      <c r="J105" s="9">
        <v>12</v>
      </c>
      <c r="K105" s="9">
        <v>42</v>
      </c>
      <c r="L105" s="11" t="s">
        <v>142</v>
      </c>
    </row>
    <row r="106" spans="1:12" x14ac:dyDescent="0.25">
      <c r="A106" s="8">
        <v>419</v>
      </c>
      <c r="B106" s="9" t="s">
        <v>103</v>
      </c>
      <c r="C106" s="10">
        <f t="shared" si="6"/>
        <v>0</v>
      </c>
      <c r="D106" s="9">
        <v>84</v>
      </c>
      <c r="E106" s="9">
        <v>78</v>
      </c>
      <c r="F106" s="9">
        <v>40</v>
      </c>
      <c r="G106" s="9"/>
      <c r="H106" s="9"/>
      <c r="I106" s="9">
        <f t="shared" si="7"/>
        <v>118</v>
      </c>
      <c r="J106" s="9">
        <v>12</v>
      </c>
      <c r="K106" s="9">
        <v>8</v>
      </c>
      <c r="L106" s="11" t="s">
        <v>125</v>
      </c>
    </row>
    <row r="107" spans="1:12" x14ac:dyDescent="0.25">
      <c r="A107" s="8">
        <v>420</v>
      </c>
      <c r="B107" s="9" t="s">
        <v>104</v>
      </c>
      <c r="C107" s="10">
        <f t="shared" si="6"/>
        <v>0</v>
      </c>
      <c r="D107" s="9">
        <v>18</v>
      </c>
      <c r="E107" s="9">
        <v>9</v>
      </c>
      <c r="F107" s="9">
        <v>10</v>
      </c>
      <c r="G107" s="9"/>
      <c r="H107" s="9"/>
      <c r="I107" s="9">
        <f t="shared" si="7"/>
        <v>19</v>
      </c>
      <c r="J107" s="9">
        <v>6</v>
      </c>
      <c r="K107" s="9">
        <v>45</v>
      </c>
      <c r="L107" s="11" t="s">
        <v>141</v>
      </c>
    </row>
    <row r="108" spans="1:12" x14ac:dyDescent="0.25">
      <c r="A108" s="8">
        <v>421</v>
      </c>
      <c r="B108" s="9" t="s">
        <v>105</v>
      </c>
      <c r="C108" s="10">
        <f t="shared" si="6"/>
        <v>0</v>
      </c>
      <c r="D108" s="9">
        <v>5</v>
      </c>
      <c r="E108" s="9"/>
      <c r="F108" s="9"/>
      <c r="G108" s="9"/>
      <c r="H108" s="9"/>
      <c r="I108" s="9">
        <f t="shared" si="7"/>
        <v>0</v>
      </c>
      <c r="J108" s="9">
        <v>24</v>
      </c>
      <c r="K108" s="9">
        <v>12</v>
      </c>
      <c r="L108" s="11" t="s">
        <v>142</v>
      </c>
    </row>
    <row r="109" spans="1:12" x14ac:dyDescent="0.25">
      <c r="A109" s="8">
        <v>423</v>
      </c>
      <c r="B109" s="9" t="s">
        <v>106</v>
      </c>
      <c r="C109" s="10">
        <f t="shared" si="6"/>
        <v>0</v>
      </c>
      <c r="D109" s="9">
        <v>3</v>
      </c>
      <c r="E109" s="9">
        <v>5</v>
      </c>
      <c r="F109" s="9"/>
      <c r="G109" s="9"/>
      <c r="H109" s="9"/>
      <c r="I109" s="9">
        <f t="shared" si="7"/>
        <v>5</v>
      </c>
      <c r="J109" s="9">
        <v>72</v>
      </c>
      <c r="K109" s="9">
        <v>20</v>
      </c>
      <c r="L109" s="11" t="s">
        <v>142</v>
      </c>
    </row>
    <row r="110" spans="1:12" x14ac:dyDescent="0.25">
      <c r="A110" s="8">
        <v>426</v>
      </c>
      <c r="B110" s="9" t="s">
        <v>107</v>
      </c>
      <c r="C110" s="10">
        <f t="shared" si="6"/>
        <v>0</v>
      </c>
      <c r="D110" s="9">
        <v>6</v>
      </c>
      <c r="E110" s="9">
        <v>14</v>
      </c>
      <c r="F110" s="9"/>
      <c r="G110" s="9"/>
      <c r="H110" s="9"/>
      <c r="I110" s="9">
        <f t="shared" si="7"/>
        <v>14</v>
      </c>
      <c r="J110" s="9">
        <v>36</v>
      </c>
      <c r="K110" s="9">
        <v>35</v>
      </c>
      <c r="L110" s="11" t="s">
        <v>142</v>
      </c>
    </row>
    <row r="111" spans="1:12" x14ac:dyDescent="0.25">
      <c r="A111" s="8">
        <v>430</v>
      </c>
      <c r="B111" s="9" t="s">
        <v>108</v>
      </c>
      <c r="C111" s="10">
        <f t="shared" si="6"/>
        <v>0</v>
      </c>
      <c r="D111" s="9"/>
      <c r="E111" s="9"/>
      <c r="F111" s="9"/>
      <c r="G111" s="9"/>
      <c r="H111" s="9"/>
      <c r="I111" s="9">
        <f t="shared" si="7"/>
        <v>0</v>
      </c>
      <c r="J111" s="9">
        <v>30</v>
      </c>
      <c r="K111" s="9">
        <v>20</v>
      </c>
      <c r="L111" s="11" t="s">
        <v>116</v>
      </c>
    </row>
    <row r="112" spans="1:12" x14ac:dyDescent="0.25">
      <c r="A112" s="8">
        <v>437</v>
      </c>
      <c r="B112" s="9" t="s">
        <v>109</v>
      </c>
      <c r="C112" s="10">
        <f t="shared" si="6"/>
        <v>0</v>
      </c>
      <c r="D112" s="9"/>
      <c r="E112" s="9"/>
      <c r="F112" s="9"/>
      <c r="G112" s="9"/>
      <c r="H112" s="9"/>
      <c r="I112" s="9">
        <f t="shared" si="7"/>
        <v>0</v>
      </c>
      <c r="J112" s="9"/>
      <c r="K112" s="9"/>
      <c r="L112" s="11" t="s">
        <v>116</v>
      </c>
    </row>
    <row r="113" spans="1:12" x14ac:dyDescent="0.25">
      <c r="A113" s="8">
        <v>439</v>
      </c>
      <c r="B113" s="9" t="s">
        <v>110</v>
      </c>
      <c r="C113" s="10">
        <f t="shared" si="6"/>
        <v>0</v>
      </c>
      <c r="D113" s="9">
        <v>10</v>
      </c>
      <c r="E113" s="9"/>
      <c r="F113" s="9"/>
      <c r="G113" s="9"/>
      <c r="H113" s="9"/>
      <c r="I113" s="9">
        <f t="shared" si="7"/>
        <v>0</v>
      </c>
      <c r="J113" s="9">
        <v>24</v>
      </c>
      <c r="K113" s="9">
        <v>24</v>
      </c>
      <c r="L113" s="11" t="s">
        <v>134</v>
      </c>
    </row>
    <row r="114" spans="1:12" x14ac:dyDescent="0.25">
      <c r="A114" s="8">
        <v>440</v>
      </c>
      <c r="B114" s="9" t="s">
        <v>111</v>
      </c>
      <c r="C114" s="10">
        <f t="shared" si="6"/>
        <v>0</v>
      </c>
      <c r="D114" s="9"/>
      <c r="E114" s="9"/>
      <c r="F114" s="9"/>
      <c r="G114" s="9"/>
      <c r="H114" s="9"/>
      <c r="I114" s="9">
        <f t="shared" si="7"/>
        <v>0</v>
      </c>
      <c r="J114" s="9"/>
      <c r="K114" s="9"/>
      <c r="L114" s="11" t="s">
        <v>116</v>
      </c>
    </row>
    <row r="115" spans="1:12" x14ac:dyDescent="0.25">
      <c r="A115" s="14">
        <v>442</v>
      </c>
      <c r="B115" s="15" t="s">
        <v>112</v>
      </c>
      <c r="C115" s="16">
        <f t="shared" si="6"/>
        <v>0</v>
      </c>
      <c r="D115" s="15"/>
      <c r="E115" s="15"/>
      <c r="F115" s="15"/>
      <c r="G115" s="15"/>
      <c r="H115" s="15"/>
      <c r="I115" s="15">
        <f t="shared" si="7"/>
        <v>0</v>
      </c>
      <c r="J115" s="15"/>
      <c r="K115" s="15"/>
      <c r="L115" s="17" t="s">
        <v>116</v>
      </c>
    </row>
    <row r="118" spans="1:12" x14ac:dyDescent="0.25">
      <c r="D118" t="s">
        <v>114</v>
      </c>
    </row>
    <row r="119" spans="1:12" x14ac:dyDescent="0.25">
      <c r="D119" t="s">
        <v>113</v>
      </c>
    </row>
    <row r="120" spans="1:12" x14ac:dyDescent="0.25">
      <c r="D120" t="s">
        <v>149</v>
      </c>
    </row>
    <row r="121" spans="1:12" x14ac:dyDescent="0.25">
      <c r="D121" t="s">
        <v>147</v>
      </c>
    </row>
    <row r="122" spans="1:12" x14ac:dyDescent="0.25">
      <c r="D122" t="s">
        <v>144</v>
      </c>
    </row>
    <row r="123" spans="1:12" x14ac:dyDescent="0.25">
      <c r="D123" t="s">
        <v>145</v>
      </c>
    </row>
    <row r="124" spans="1:12" x14ac:dyDescent="0.25">
      <c r="D124" t="s">
        <v>146</v>
      </c>
    </row>
    <row r="125" spans="1:12" x14ac:dyDescent="0.25">
      <c r="D125" t="s">
        <v>148</v>
      </c>
    </row>
    <row r="127" spans="1:12" x14ac:dyDescent="0.25">
      <c r="D127" s="2" t="s">
        <v>128</v>
      </c>
      <c r="K127" s="2"/>
    </row>
    <row r="128" spans="1:12" x14ac:dyDescent="0.25">
      <c r="D128" t="s">
        <v>169</v>
      </c>
    </row>
    <row r="129" spans="4:11" x14ac:dyDescent="0.25">
      <c r="D129" t="s">
        <v>170</v>
      </c>
    </row>
    <row r="130" spans="4:11" x14ac:dyDescent="0.25">
      <c r="D130" t="s">
        <v>171</v>
      </c>
    </row>
    <row r="131" spans="4:11" x14ac:dyDescent="0.25">
      <c r="D131" t="s">
        <v>172</v>
      </c>
    </row>
    <row r="132" spans="4:11" x14ac:dyDescent="0.25">
      <c r="D132" t="s">
        <v>173</v>
      </c>
    </row>
    <row r="133" spans="4:11" x14ac:dyDescent="0.25">
      <c r="D133" t="s">
        <v>129</v>
      </c>
    </row>
    <row r="134" spans="4:11" x14ac:dyDescent="0.25">
      <c r="D134" t="s">
        <v>130</v>
      </c>
      <c r="K134" s="3"/>
    </row>
    <row r="135" spans="4:11" x14ac:dyDescent="0.25">
      <c r="D135" t="s">
        <v>131</v>
      </c>
    </row>
    <row r="136" spans="4:11" x14ac:dyDescent="0.25">
      <c r="D136" t="s">
        <v>132</v>
      </c>
    </row>
    <row r="137" spans="4:11" x14ac:dyDescent="0.25">
      <c r="D137" t="s">
        <v>174</v>
      </c>
    </row>
    <row r="138" spans="4:11" x14ac:dyDescent="0.25">
      <c r="D138" t="s">
        <v>175</v>
      </c>
    </row>
    <row r="139" spans="4:11" x14ac:dyDescent="0.25">
      <c r="D139" t="s">
        <v>176</v>
      </c>
    </row>
    <row r="140" spans="4:11" x14ac:dyDescent="0.25">
      <c r="D140" t="s">
        <v>177</v>
      </c>
    </row>
    <row r="142" spans="4:11" x14ac:dyDescent="0.25">
      <c r="D142" s="2" t="s">
        <v>161</v>
      </c>
    </row>
    <row r="143" spans="4:11" x14ac:dyDescent="0.25">
      <c r="D143" t="s">
        <v>162</v>
      </c>
    </row>
    <row r="144" spans="4:11" x14ac:dyDescent="0.25">
      <c r="D144" t="s">
        <v>163</v>
      </c>
    </row>
    <row r="145" spans="4:4" x14ac:dyDescent="0.25">
      <c r="D145" t="s">
        <v>164</v>
      </c>
    </row>
    <row r="146" spans="4:4" x14ac:dyDescent="0.25">
      <c r="D146" t="s">
        <v>165</v>
      </c>
    </row>
    <row r="147" spans="4:4" x14ac:dyDescent="0.25">
      <c r="D147" t="s">
        <v>166</v>
      </c>
    </row>
    <row r="148" spans="4:4" x14ac:dyDescent="0.25">
      <c r="D148" t="s">
        <v>167</v>
      </c>
    </row>
    <row r="149" spans="4:4" x14ac:dyDescent="0.25">
      <c r="D149" t="s">
        <v>168</v>
      </c>
    </row>
    <row r="150" spans="4:4" x14ac:dyDescent="0.25">
      <c r="D150" t="s">
        <v>178</v>
      </c>
    </row>
    <row r="151" spans="4:4" x14ac:dyDescent="0.25">
      <c r="D151" t="s">
        <v>179</v>
      </c>
    </row>
  </sheetData>
  <pageMargins left="0.7" right="0.7" top="0.75" bottom="0.75" header="0.3" footer="0.3"/>
  <pageSetup orientation="landscape" horizontalDpi="300" verticalDpi="300" r:id="rId1"/>
  <headerFooter>
    <oddHeader>Page &amp;P of &amp;N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Cannon</dc:creator>
  <cp:lastModifiedBy>Laurie Cannon</cp:lastModifiedBy>
  <cp:lastPrinted>2026-02-05T17:55:50Z</cp:lastPrinted>
  <dcterms:created xsi:type="dcterms:W3CDTF">2026-02-02T06:49:59Z</dcterms:created>
  <dcterms:modified xsi:type="dcterms:W3CDTF">2026-02-21T18:18:13Z</dcterms:modified>
</cp:coreProperties>
</file>