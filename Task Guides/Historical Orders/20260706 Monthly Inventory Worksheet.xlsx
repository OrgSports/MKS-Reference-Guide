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72bdc426f80e9d/Documents/Laurie/Bishops Storehouse/MKS/Task Guides/Historical Orders/"/>
    </mc:Choice>
  </mc:AlternateContent>
  <xr:revisionPtr revIDLastSave="1" documentId="13_ncr:1_{FA5E30E2-7C6D-4C03-B980-C9846E0625FC}" xr6:coauthVersionLast="47" xr6:coauthVersionMax="47" xr10:uidLastSave="{898F5A3E-FCBB-441F-8317-4D64299B2EE0}"/>
  <bookViews>
    <workbookView xWindow="-120" yWindow="-120" windowWidth="29040" windowHeight="15720" xr2:uid="{5B996AA9-3AA9-4F95-B378-855EC8387662}"/>
  </bookViews>
  <sheets>
    <sheet name="Sheet1" sheetId="1" r:id="rId1"/>
  </sheets>
  <definedNames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0" i="1" l="1"/>
  <c r="C129" i="1"/>
  <c r="C127" i="1"/>
  <c r="C126" i="1"/>
  <c r="C125" i="1"/>
  <c r="C124" i="1"/>
  <c r="C123" i="1"/>
  <c r="C122" i="1"/>
  <c r="C121" i="1"/>
  <c r="C120" i="1"/>
  <c r="C119" i="1"/>
  <c r="K130" i="1"/>
  <c r="K129" i="1"/>
  <c r="K128" i="1"/>
  <c r="C128" i="1" s="1"/>
  <c r="K127" i="1"/>
  <c r="K126" i="1"/>
  <c r="K125" i="1"/>
  <c r="K124" i="1"/>
  <c r="K123" i="1"/>
  <c r="K122" i="1"/>
  <c r="K121" i="1"/>
  <c r="K120" i="1"/>
  <c r="K119" i="1"/>
  <c r="E6" i="1"/>
  <c r="E9" i="1"/>
  <c r="H100" i="1"/>
  <c r="K100" i="1" s="1"/>
  <c r="C100" i="1" s="1"/>
  <c r="H99" i="1"/>
  <c r="K99" i="1" s="1"/>
  <c r="C99" i="1" s="1"/>
  <c r="H93" i="1"/>
  <c r="K93" i="1" s="1"/>
  <c r="C93" i="1" s="1"/>
  <c r="H98" i="1"/>
  <c r="K98" i="1" s="1"/>
  <c r="C98" i="1" s="1"/>
  <c r="H101" i="1"/>
  <c r="K101" i="1" s="1"/>
  <c r="C101" i="1" s="1"/>
  <c r="H28" i="1"/>
  <c r="K28" i="1" s="1"/>
  <c r="C28" i="1" s="1"/>
  <c r="H27" i="1"/>
  <c r="K27" i="1" s="1"/>
  <c r="C27" i="1" s="1"/>
  <c r="H26" i="1"/>
  <c r="K26" i="1" s="1"/>
  <c r="C26" i="1" s="1"/>
  <c r="H19" i="1"/>
  <c r="K19" i="1" s="1"/>
  <c r="C19" i="1" s="1"/>
  <c r="H33" i="1"/>
  <c r="K33" i="1" s="1"/>
  <c r="C33" i="1" s="1"/>
  <c r="H25" i="1"/>
  <c r="K25" i="1" s="1"/>
  <c r="C25" i="1" s="1"/>
  <c r="H24" i="1"/>
  <c r="K24" i="1" s="1"/>
  <c r="C24" i="1" s="1"/>
  <c r="H115" i="1"/>
  <c r="K115" i="1" s="1"/>
  <c r="C115" i="1" s="1"/>
  <c r="H32" i="1"/>
  <c r="K32" i="1" s="1"/>
  <c r="C32" i="1" s="1"/>
  <c r="H31" i="1"/>
  <c r="K31" i="1" s="1"/>
  <c r="C31" i="1" s="1"/>
  <c r="H30" i="1"/>
  <c r="K30" i="1" s="1"/>
  <c r="C30" i="1" s="1"/>
  <c r="H18" i="1"/>
  <c r="K18" i="1" s="1"/>
  <c r="C18" i="1" s="1"/>
  <c r="H16" i="1"/>
  <c r="K16" i="1" s="1"/>
  <c r="C16" i="1" s="1"/>
  <c r="H23" i="1"/>
  <c r="K23" i="1" s="1"/>
  <c r="C23" i="1" s="1"/>
  <c r="H12" i="1"/>
  <c r="K12" i="1" s="1"/>
  <c r="C12" i="1" s="1"/>
  <c r="H15" i="1"/>
  <c r="K15" i="1" s="1"/>
  <c r="C15" i="1" s="1"/>
  <c r="H7" i="1"/>
  <c r="K7" i="1" s="1"/>
  <c r="C7" i="1" s="1"/>
  <c r="H11" i="1"/>
  <c r="K11" i="1" s="1"/>
  <c r="C11" i="1" s="1"/>
  <c r="H22" i="1"/>
  <c r="K22" i="1" s="1"/>
  <c r="C22" i="1" s="1"/>
  <c r="H10" i="1"/>
  <c r="K10" i="1" s="1"/>
  <c r="C10" i="1" s="1"/>
  <c r="H29" i="1"/>
  <c r="K29" i="1" s="1"/>
  <c r="C29" i="1" s="1"/>
  <c r="H21" i="1"/>
  <c r="K21" i="1" s="1"/>
  <c r="C21" i="1" s="1"/>
  <c r="H17" i="1"/>
  <c r="K17" i="1" s="1"/>
  <c r="C17" i="1" s="1"/>
  <c r="H14" i="1"/>
  <c r="K14" i="1" s="1"/>
  <c r="C14" i="1" s="1"/>
  <c r="H20" i="1"/>
  <c r="K20" i="1" s="1"/>
  <c r="C20" i="1" s="1"/>
  <c r="H13" i="1"/>
  <c r="K13" i="1" s="1"/>
  <c r="C13" i="1" s="1"/>
  <c r="H114" i="1"/>
  <c r="K114" i="1" s="1"/>
  <c r="C114" i="1" s="1"/>
  <c r="H113" i="1"/>
  <c r="K113" i="1" s="1"/>
  <c r="C113" i="1" s="1"/>
  <c r="H112" i="1"/>
  <c r="K112" i="1" s="1"/>
  <c r="C112" i="1" s="1"/>
  <c r="H111" i="1"/>
  <c r="K111" i="1" s="1"/>
  <c r="C111" i="1" s="1"/>
  <c r="H110" i="1"/>
  <c r="K110" i="1" s="1"/>
  <c r="C110" i="1" s="1"/>
  <c r="H109" i="1"/>
  <c r="K109" i="1" s="1"/>
  <c r="C109" i="1" s="1"/>
  <c r="H108" i="1"/>
  <c r="K108" i="1" s="1"/>
  <c r="C108" i="1" s="1"/>
  <c r="H107" i="1"/>
  <c r="K107" i="1" s="1"/>
  <c r="C107" i="1" s="1"/>
  <c r="H106" i="1"/>
  <c r="K106" i="1" s="1"/>
  <c r="C106" i="1" s="1"/>
  <c r="H105" i="1"/>
  <c r="K105" i="1" s="1"/>
  <c r="C105" i="1" s="1"/>
  <c r="H104" i="1"/>
  <c r="K104" i="1" s="1"/>
  <c r="C104" i="1" s="1"/>
  <c r="H92" i="1"/>
  <c r="K92" i="1" s="1"/>
  <c r="C92" i="1" s="1"/>
  <c r="H91" i="1"/>
  <c r="K91" i="1" s="1"/>
  <c r="C91" i="1" s="1"/>
  <c r="H103" i="1"/>
  <c r="K103" i="1" s="1"/>
  <c r="C103" i="1" s="1"/>
  <c r="H35" i="1"/>
  <c r="K35" i="1" s="1"/>
  <c r="C35" i="1" s="1"/>
  <c r="H6" i="1"/>
  <c r="K6" i="1" s="1"/>
  <c r="C6" i="1" s="1"/>
  <c r="H56" i="1"/>
  <c r="K56" i="1" s="1"/>
  <c r="C56" i="1" s="1"/>
  <c r="H37" i="1"/>
  <c r="K37" i="1" s="1"/>
  <c r="C37" i="1" s="1"/>
  <c r="H5" i="1"/>
  <c r="K5" i="1" s="1"/>
  <c r="C5" i="1" s="1"/>
  <c r="H36" i="1"/>
  <c r="K36" i="1" s="1"/>
  <c r="C36" i="1" s="1"/>
  <c r="H43" i="1"/>
  <c r="K43" i="1" s="1"/>
  <c r="C43" i="1" s="1"/>
  <c r="H4" i="1"/>
  <c r="K4" i="1" s="1"/>
  <c r="C4" i="1" s="1"/>
  <c r="H40" i="1"/>
  <c r="K40" i="1" s="1"/>
  <c r="C40" i="1" s="1"/>
  <c r="H39" i="1"/>
  <c r="K39" i="1" s="1"/>
  <c r="C39" i="1" s="1"/>
  <c r="H64" i="1"/>
  <c r="K64" i="1" s="1"/>
  <c r="C64" i="1" s="1"/>
  <c r="H63" i="1"/>
  <c r="K63" i="1" s="1"/>
  <c r="C63" i="1" s="1"/>
  <c r="H34" i="1"/>
  <c r="K34" i="1" s="1"/>
  <c r="C34" i="1" s="1"/>
  <c r="H55" i="1"/>
  <c r="K55" i="1" s="1"/>
  <c r="C55" i="1" s="1"/>
  <c r="H54" i="1"/>
  <c r="K54" i="1" s="1"/>
  <c r="C54" i="1" s="1"/>
  <c r="H9" i="1"/>
  <c r="K9" i="1" s="1"/>
  <c r="C9" i="1" s="1"/>
  <c r="H8" i="1"/>
  <c r="K8" i="1" s="1"/>
  <c r="C8" i="1" s="1"/>
  <c r="H102" i="1"/>
  <c r="K102" i="1" s="1"/>
  <c r="C102" i="1" s="1"/>
  <c r="H68" i="1"/>
  <c r="K68" i="1" s="1"/>
  <c r="C68" i="1" s="1"/>
  <c r="H42" i="1"/>
  <c r="K42" i="1" s="1"/>
  <c r="C42" i="1" s="1"/>
  <c r="H38" i="1"/>
  <c r="K38" i="1" s="1"/>
  <c r="C38" i="1" s="1"/>
  <c r="H41" i="1"/>
  <c r="K41" i="1" s="1"/>
  <c r="C41" i="1" s="1"/>
  <c r="H50" i="1"/>
  <c r="K50" i="1" s="1"/>
  <c r="C50" i="1" s="1"/>
  <c r="H61" i="1"/>
  <c r="K61" i="1" s="1"/>
  <c r="C61" i="1" s="1"/>
  <c r="H53" i="1"/>
  <c r="K53" i="1" s="1"/>
  <c r="C53" i="1" s="1"/>
  <c r="H52" i="1"/>
  <c r="K52" i="1" s="1"/>
  <c r="C52" i="1" s="1"/>
  <c r="H66" i="1"/>
  <c r="K66" i="1" s="1"/>
  <c r="C66" i="1" s="1"/>
  <c r="H97" i="1"/>
  <c r="K97" i="1" s="1"/>
  <c r="C97" i="1" s="1"/>
  <c r="H70" i="1"/>
  <c r="K70" i="1" s="1"/>
  <c r="C70" i="1" s="1"/>
  <c r="H45" i="1"/>
  <c r="K45" i="1" s="1"/>
  <c r="C45" i="1" s="1"/>
  <c r="H62" i="1"/>
  <c r="K62" i="1" s="1"/>
  <c r="C62" i="1" s="1"/>
  <c r="H60" i="1"/>
  <c r="K60" i="1" s="1"/>
  <c r="C60" i="1" s="1"/>
  <c r="H59" i="1"/>
  <c r="K59" i="1" s="1"/>
  <c r="C59" i="1" s="1"/>
  <c r="H69" i="1"/>
  <c r="K69" i="1" s="1"/>
  <c r="C69" i="1" s="1"/>
  <c r="H65" i="1"/>
  <c r="K65" i="1" s="1"/>
  <c r="C65" i="1" s="1"/>
  <c r="H67" i="1"/>
  <c r="K67" i="1" s="1"/>
  <c r="C67" i="1" s="1"/>
  <c r="H48" i="1"/>
  <c r="K48" i="1" s="1"/>
  <c r="C48" i="1" s="1"/>
  <c r="H58" i="1"/>
  <c r="K58" i="1" s="1"/>
  <c r="C58" i="1" s="1"/>
  <c r="H51" i="1"/>
  <c r="K51" i="1" s="1"/>
  <c r="C51" i="1" s="1"/>
  <c r="H49" i="1"/>
  <c r="K49" i="1" s="1"/>
  <c r="C49" i="1" s="1"/>
  <c r="H44" i="1"/>
  <c r="K44" i="1" s="1"/>
  <c r="C44" i="1" s="1"/>
  <c r="H90" i="1"/>
  <c r="K90" i="1" s="1"/>
  <c r="C90" i="1" s="1"/>
  <c r="H47" i="1"/>
  <c r="K47" i="1" s="1"/>
  <c r="C47" i="1" s="1"/>
  <c r="H46" i="1"/>
  <c r="K46" i="1" s="1"/>
  <c r="C46" i="1" s="1"/>
  <c r="H85" i="1"/>
  <c r="K85" i="1" s="1"/>
  <c r="C85" i="1" s="1"/>
  <c r="H88" i="1"/>
  <c r="K88" i="1" s="1"/>
  <c r="C88" i="1" s="1"/>
  <c r="H80" i="1"/>
  <c r="K80" i="1" s="1"/>
  <c r="C80" i="1" s="1"/>
  <c r="H84" i="1"/>
  <c r="K84" i="1" s="1"/>
  <c r="C84" i="1" s="1"/>
  <c r="H83" i="1"/>
  <c r="K83" i="1" s="1"/>
  <c r="C83" i="1" s="1"/>
  <c r="H82" i="1"/>
  <c r="K82" i="1" s="1"/>
  <c r="C82" i="1" s="1"/>
  <c r="H79" i="1"/>
  <c r="K79" i="1" s="1"/>
  <c r="C79" i="1" s="1"/>
  <c r="H78" i="1"/>
  <c r="K78" i="1" s="1"/>
  <c r="C78" i="1" s="1"/>
  <c r="H76" i="1"/>
  <c r="K76" i="1" s="1"/>
  <c r="C76" i="1" s="1"/>
  <c r="H87" i="1"/>
  <c r="K87" i="1" s="1"/>
  <c r="C87" i="1" s="1"/>
  <c r="H89" i="1"/>
  <c r="K89" i="1" s="1"/>
  <c r="C89" i="1" s="1"/>
  <c r="H57" i="1"/>
  <c r="K57" i="1" s="1"/>
  <c r="C57" i="1" s="1"/>
  <c r="H86" i="1"/>
  <c r="K86" i="1" s="1"/>
  <c r="C86" i="1" s="1"/>
  <c r="H81" i="1"/>
  <c r="K81" i="1" s="1"/>
  <c r="C81" i="1" s="1"/>
  <c r="H77" i="1"/>
  <c r="K77" i="1" s="1"/>
  <c r="C77" i="1" s="1"/>
  <c r="H75" i="1"/>
  <c r="K75" i="1" s="1"/>
  <c r="C75" i="1" s="1"/>
  <c r="H95" i="1"/>
  <c r="K95" i="1" s="1"/>
  <c r="C95" i="1" s="1"/>
  <c r="H96" i="1"/>
  <c r="K96" i="1" s="1"/>
  <c r="C96" i="1" s="1"/>
  <c r="H94" i="1"/>
  <c r="K94" i="1" s="1"/>
  <c r="C94" i="1" s="1"/>
  <c r="H74" i="1"/>
  <c r="K74" i="1" s="1"/>
  <c r="C74" i="1" s="1"/>
  <c r="H72" i="1"/>
  <c r="K72" i="1" s="1"/>
  <c r="C72" i="1" s="1"/>
  <c r="H71" i="1"/>
  <c r="K71" i="1" s="1"/>
  <c r="C71" i="1" s="1"/>
  <c r="H73" i="1"/>
  <c r="K73" i="1" s="1"/>
  <c r="C73" i="1" s="1"/>
  <c r="E73" i="1"/>
  <c r="E71" i="1"/>
  <c r="E72" i="1"/>
  <c r="E74" i="1"/>
  <c r="E94" i="1"/>
  <c r="E96" i="1"/>
  <c r="E95" i="1"/>
  <c r="E75" i="1"/>
  <c r="E77" i="1"/>
  <c r="E81" i="1"/>
  <c r="E86" i="1"/>
  <c r="E57" i="1"/>
  <c r="E89" i="1"/>
  <c r="E87" i="1"/>
  <c r="E76" i="1"/>
  <c r="E78" i="1"/>
  <c r="E82" i="1"/>
  <c r="E83" i="1"/>
  <c r="E80" i="1"/>
  <c r="E88" i="1"/>
  <c r="E85" i="1"/>
  <c r="E46" i="1"/>
  <c r="E47" i="1"/>
  <c r="E90" i="1"/>
  <c r="E44" i="1"/>
  <c r="E49" i="1"/>
  <c r="E58" i="1"/>
  <c r="E48" i="1"/>
  <c r="E69" i="1"/>
  <c r="E59" i="1"/>
  <c r="E60" i="1"/>
  <c r="E62" i="1"/>
  <c r="E45" i="1"/>
  <c r="E70" i="1"/>
  <c r="E97" i="1"/>
  <c r="E66" i="1"/>
  <c r="E52" i="1"/>
  <c r="E53" i="1"/>
  <c r="E50" i="1"/>
  <c r="E38" i="1"/>
  <c r="E102" i="1"/>
  <c r="E8" i="1"/>
  <c r="E54" i="1"/>
  <c r="E55" i="1"/>
  <c r="E34" i="1"/>
  <c r="E63" i="1"/>
  <c r="E64" i="1"/>
  <c r="E39" i="1"/>
  <c r="E4" i="1"/>
  <c r="E43" i="1"/>
  <c r="E36" i="1"/>
  <c r="E5" i="1"/>
  <c r="E37" i="1"/>
  <c r="E56" i="1"/>
  <c r="E35" i="1"/>
  <c r="E91" i="1"/>
  <c r="E92" i="1"/>
  <c r="E105" i="1"/>
  <c r="E26" i="1"/>
  <c r="E93" i="1"/>
</calcChain>
</file>

<file path=xl/sharedStrings.xml><?xml version="1.0" encoding="utf-8"?>
<sst xmlns="http://schemas.openxmlformats.org/spreadsheetml/2006/main" count="584" uniqueCount="375">
  <si>
    <t>Mukilteo Bishops' Storehouse</t>
  </si>
  <si>
    <t>Freezer</t>
  </si>
  <si>
    <t>Turkey Whole</t>
  </si>
  <si>
    <t>Fully Cooked Beef</t>
  </si>
  <si>
    <t>Beef Stew</t>
  </si>
  <si>
    <t>Chili</t>
  </si>
  <si>
    <t>Pork n Beans</t>
  </si>
  <si>
    <t>Black Beans</t>
  </si>
  <si>
    <t>Canned Pinto Beans</t>
  </si>
  <si>
    <t>Tuna Fish</t>
  </si>
  <si>
    <t>Chicken Breast Pieces</t>
  </si>
  <si>
    <t>Corn</t>
  </si>
  <si>
    <t>Green Beans</t>
  </si>
  <si>
    <t>Diced Tomatoes</t>
  </si>
  <si>
    <t>Tomato Sauce</t>
  </si>
  <si>
    <t>Chicken w/ Rotini Soup</t>
  </si>
  <si>
    <t>Tomato Soup</t>
  </si>
  <si>
    <t>Cream of Mushroom Soup (N)</t>
  </si>
  <si>
    <t>Cream of Chicken Soup (N)</t>
  </si>
  <si>
    <t>Applesauce</t>
  </si>
  <si>
    <t>Peaches</t>
  </si>
  <si>
    <t>Pears</t>
  </si>
  <si>
    <t>Raspberry Jam</t>
  </si>
  <si>
    <t>Strawberry Jam</t>
  </si>
  <si>
    <t>Salsa</t>
  </si>
  <si>
    <t>Ketchup</t>
  </si>
  <si>
    <t>Honey</t>
  </si>
  <si>
    <t>Peanut Butter</t>
  </si>
  <si>
    <t>Baking Powder</t>
  </si>
  <si>
    <t>Cinnamon</t>
  </si>
  <si>
    <t>Vanilla Pudding</t>
  </si>
  <si>
    <t>Strawberry Gelatin</t>
  </si>
  <si>
    <t>Pancake Syrup</t>
  </si>
  <si>
    <t>Raisins</t>
  </si>
  <si>
    <t>Mustard</t>
  </si>
  <si>
    <t>Mayo</t>
  </si>
  <si>
    <t>Ranch Dressing</t>
  </si>
  <si>
    <t>Salt Iodized</t>
  </si>
  <si>
    <t>Vegetable Oil (Canola)</t>
  </si>
  <si>
    <t>Brown Sugar</t>
  </si>
  <si>
    <t>Sugar</t>
  </si>
  <si>
    <t>Powdered Sugar</t>
  </si>
  <si>
    <t>Vanilla Extract</t>
  </si>
  <si>
    <t>Yeast</t>
  </si>
  <si>
    <t>Baby Formula</t>
  </si>
  <si>
    <t>Pinto Beans</t>
  </si>
  <si>
    <t>Refried Beans</t>
  </si>
  <si>
    <t>Pancake Mix</t>
  </si>
  <si>
    <t>Chocolate Cake Mix</t>
  </si>
  <si>
    <t>Yellow Cake Mix</t>
  </si>
  <si>
    <t>White Flour</t>
  </si>
  <si>
    <t>White Flour 5lb</t>
  </si>
  <si>
    <t>Scooters</t>
  </si>
  <si>
    <t>Macaroni</t>
  </si>
  <si>
    <t>Macaroni &amp; Cheese</t>
  </si>
  <si>
    <t>Raisin Bran</t>
  </si>
  <si>
    <t>Ribbon Pasta</t>
  </si>
  <si>
    <t xml:space="preserve">Spaghetti </t>
  </si>
  <si>
    <t>Dry Milk</t>
  </si>
  <si>
    <t>Hot Cocoa</t>
  </si>
  <si>
    <t>Butter</t>
  </si>
  <si>
    <t>Cheese</t>
  </si>
  <si>
    <t>Beef Stewing</t>
  </si>
  <si>
    <t>Beef Roast</t>
  </si>
  <si>
    <t>Ham</t>
  </si>
  <si>
    <t>Pork Sausage</t>
  </si>
  <si>
    <t>Lysol Cleaner</t>
  </si>
  <si>
    <t>Cleanser (Ajax or Comet)</t>
  </si>
  <si>
    <t>Liquid Dish Soap</t>
  </si>
  <si>
    <t>Dishwasher Detergent (liquid)</t>
  </si>
  <si>
    <t>Laundry Detergent</t>
  </si>
  <si>
    <t>Diapers #1</t>
  </si>
  <si>
    <t>Shampoo</t>
  </si>
  <si>
    <t>Diapers #3</t>
  </si>
  <si>
    <t>Diapers #4</t>
  </si>
  <si>
    <t>Aluminum Foil</t>
  </si>
  <si>
    <t>Baby Wipes</t>
  </si>
  <si>
    <t>Hand Soap</t>
  </si>
  <si>
    <t>Plastic Wrap</t>
  </si>
  <si>
    <t>Razor</t>
  </si>
  <si>
    <t>Tampons -- Regular</t>
  </si>
  <si>
    <t>Tampons -- Super</t>
  </si>
  <si>
    <t>Deodorant Women</t>
  </si>
  <si>
    <t>Toothpaste</t>
  </si>
  <si>
    <t>Toothbrush Adult</t>
  </si>
  <si>
    <t>Toothbrush Child</t>
  </si>
  <si>
    <t>Chocolate Orange Sticks</t>
  </si>
  <si>
    <t>Cranberry Sauce</t>
  </si>
  <si>
    <t>Olives</t>
  </si>
  <si>
    <t>Canned Pumpkin</t>
  </si>
  <si>
    <t>Stuffing</t>
  </si>
  <si>
    <t>T-shirt bags</t>
  </si>
  <si>
    <t>Cooler</t>
  </si>
  <si>
    <t>Monthly Order Process</t>
  </si>
  <si>
    <t>4,2</t>
  </si>
  <si>
    <t>Produce Vented Bags</t>
  </si>
  <si>
    <t>Shrink Wrap</t>
  </si>
  <si>
    <t>Paper Bags</t>
  </si>
  <si>
    <t>Milk Boxes</t>
  </si>
  <si>
    <t>Items
Per 
case</t>
  </si>
  <si>
    <t>Items
Per
tier</t>
  </si>
  <si>
    <t>Notes:</t>
  </si>
  <si>
    <t>1. Endeavor to order by the tier, and when the item -- such as Baby Cereal -- does</t>
  </si>
  <si>
    <t>not justify an entire tier then order by the case.</t>
  </si>
  <si>
    <t>items are only shipped on the monthly orders. It does not have a location on</t>
  </si>
  <si>
    <t>2. When you order a number other than the number this worksheet recommends</t>
  </si>
  <si>
    <t>3. Currently, bread is shipped on the monthy order -- as it is frozen, and frozen</t>
  </si>
  <si>
    <t xml:space="preserve"> next month.</t>
  </si>
  <si>
    <t>any form, so apparently we must contact Michael personally to change our count.</t>
  </si>
  <si>
    <t>month supply calculation</t>
  </si>
  <si>
    <t>6. The number in C2 is the multiplier for the number of months of inventory we</t>
  </si>
  <si>
    <t>seek to have in stock when the next order is received.</t>
  </si>
  <si>
    <t>Product name</t>
  </si>
  <si>
    <t>Item number</t>
  </si>
  <si>
    <t>Transfer quantity</t>
  </si>
  <si>
    <t>Great Northern Beans</t>
  </si>
  <si>
    <t>Instant Potatoes 12/28oz</t>
  </si>
  <si>
    <t>Soup, Cream Chicken</t>
  </si>
  <si>
    <t>Soup, Cream Mushroom</t>
  </si>
  <si>
    <t>Spaghetti Sauce 26.5oz</t>
  </si>
  <si>
    <t>Evaporated Milk</t>
  </si>
  <si>
    <t>Baking Soda 12/12oz</t>
  </si>
  <si>
    <t>Pudding, Chocolate</t>
  </si>
  <si>
    <t>Black Pepper 12/ct</t>
  </si>
  <si>
    <t>Baby Cereal- 8oz.</t>
  </si>
  <si>
    <t>Rice 2#</t>
  </si>
  <si>
    <t>Oats, Rolled</t>
  </si>
  <si>
    <t>Apples</t>
  </si>
  <si>
    <t>Beef Ground</t>
  </si>
  <si>
    <t>Pork Roast- 10 Count</t>
  </si>
  <si>
    <t>IQF Chicken Breast</t>
  </si>
  <si>
    <t>Beef Franks</t>
  </si>
  <si>
    <t>Liquid Bleach Concentrate (New)</t>
  </si>
  <si>
    <t>Sanitary Pads</t>
  </si>
  <si>
    <t>Deodorant, Men</t>
  </si>
  <si>
    <t>Toilet Paper 4 pack</t>
  </si>
  <si>
    <t>Shaving Cream 10 oz. (New)</t>
  </si>
  <si>
    <t>3. Collect paperwork for upcoming humanitarian orders that are to be delivered during the</t>
  </si>
  <si>
    <t>5. Collect Michael's Planned Order Form -- usually on the 1st of the month. Copy and paste</t>
  </si>
  <si>
    <t>8. E-File the form returned to Michael into the Monthly Orders folder.</t>
  </si>
  <si>
    <t>column will probably be some multiple of the Wirtz Minimum. The multiplier is stored</t>
  </si>
  <si>
    <t>-- and can be edited -- in cell $C$2.</t>
  </si>
  <si>
    <t>Items we can get from Michael or Laura apart from this order sheet if we ask via email</t>
  </si>
  <si>
    <t>Box Cutters</t>
  </si>
  <si>
    <t>Dummy product</t>
  </si>
  <si>
    <t xml:space="preserve">items with a “best-by” date 10 days in the future or less should be taken off the shelf and </t>
  </si>
  <si>
    <t>donated to a qualified local charitable organization. Your field office has a list of approved</t>
  </si>
  <si>
    <t>Operational Guide, section 6.7 Stocking Shelves.</t>
  </si>
  <si>
    <r>
      <t xml:space="preserve">local charitable organizations. </t>
    </r>
    <r>
      <rPr>
        <i/>
        <sz val="11"/>
        <color theme="1"/>
        <rFont val="Aptos Narrow"/>
        <family val="2"/>
        <scheme val="minor"/>
      </rPr>
      <t>This is found in the Restock section of the Storehouse</t>
    </r>
  </si>
  <si>
    <t>000003</t>
  </si>
  <si>
    <t>000006</t>
  </si>
  <si>
    <t>000053</t>
  </si>
  <si>
    <t>000009</t>
  </si>
  <si>
    <t>000012</t>
  </si>
  <si>
    <t>000014</t>
  </si>
  <si>
    <t>000015</t>
  </si>
  <si>
    <t>000016</t>
  </si>
  <si>
    <t>000018</t>
  </si>
  <si>
    <t>000019</t>
  </si>
  <si>
    <t>000024</t>
  </si>
  <si>
    <t>000027</t>
  </si>
  <si>
    <t>000035</t>
  </si>
  <si>
    <t>000037</t>
  </si>
  <si>
    <t>000039</t>
  </si>
  <si>
    <t>000042</t>
  </si>
  <si>
    <t>000045</t>
  </si>
  <si>
    <t>000046</t>
  </si>
  <si>
    <t>000048</t>
  </si>
  <si>
    <t>000054</t>
  </si>
  <si>
    <t>000056</t>
  </si>
  <si>
    <t>000061</t>
  </si>
  <si>
    <t>000064</t>
  </si>
  <si>
    <t>000086</t>
  </si>
  <si>
    <t>000089</t>
  </si>
  <si>
    <t>000090</t>
  </si>
  <si>
    <t>000093</t>
  </si>
  <si>
    <t>000094</t>
  </si>
  <si>
    <t>000098</t>
  </si>
  <si>
    <t>000100</t>
  </si>
  <si>
    <t>000102</t>
  </si>
  <si>
    <t>000106</t>
  </si>
  <si>
    <t>000109</t>
  </si>
  <si>
    <t>000114</t>
  </si>
  <si>
    <t>000121</t>
  </si>
  <si>
    <t>000124</t>
  </si>
  <si>
    <t>000135</t>
  </si>
  <si>
    <t>000139</t>
  </si>
  <si>
    <t>000141</t>
  </si>
  <si>
    <t>000145</t>
  </si>
  <si>
    <t>000147</t>
  </si>
  <si>
    <t>000151</t>
  </si>
  <si>
    <t>000152</t>
  </si>
  <si>
    <t>000153</t>
  </si>
  <si>
    <t>000159</t>
  </si>
  <si>
    <t>000162</t>
  </si>
  <si>
    <t>000167</t>
  </si>
  <si>
    <t>000168</t>
  </si>
  <si>
    <t>000172</t>
  </si>
  <si>
    <t>000178</t>
  </si>
  <si>
    <t>000182</t>
  </si>
  <si>
    <t>000184</t>
  </si>
  <si>
    <t>000187</t>
  </si>
  <si>
    <t>000189</t>
  </si>
  <si>
    <t>000206</t>
  </si>
  <si>
    <t>000208</t>
  </si>
  <si>
    <t>000209</t>
  </si>
  <si>
    <t>000211</t>
  </si>
  <si>
    <t>000212</t>
  </si>
  <si>
    <t>000213</t>
  </si>
  <si>
    <t>000219</t>
  </si>
  <si>
    <t>000222</t>
  </si>
  <si>
    <t>000223</t>
  </si>
  <si>
    <t>000226</t>
  </si>
  <si>
    <t>000228</t>
  </si>
  <si>
    <t>000231</t>
  </si>
  <si>
    <t>000234</t>
  </si>
  <si>
    <t>000267</t>
  </si>
  <si>
    <t>000286</t>
  </si>
  <si>
    <t>000289</t>
  </si>
  <si>
    <t>000292</t>
  </si>
  <si>
    <t>000298</t>
  </si>
  <si>
    <t>000305</t>
  </si>
  <si>
    <t>000310</t>
  </si>
  <si>
    <t>000313</t>
  </si>
  <si>
    <t>000320</t>
  </si>
  <si>
    <t>000325</t>
  </si>
  <si>
    <t>000329</t>
  </si>
  <si>
    <t>000331</t>
  </si>
  <si>
    <t>000336</t>
  </si>
  <si>
    <t>000343</t>
  </si>
  <si>
    <t>000345</t>
  </si>
  <si>
    <t>000350</t>
  </si>
  <si>
    <t>000351</t>
  </si>
  <si>
    <t>000354</t>
  </si>
  <si>
    <t>000357</t>
  </si>
  <si>
    <t>000359</t>
  </si>
  <si>
    <t>000362</t>
  </si>
  <si>
    <t>000363</t>
  </si>
  <si>
    <t>000365</t>
  </si>
  <si>
    <t>000366</t>
  </si>
  <si>
    <t>000369</t>
  </si>
  <si>
    <t>000370</t>
  </si>
  <si>
    <t>000371</t>
  </si>
  <si>
    <t>000390</t>
  </si>
  <si>
    <t>000395</t>
  </si>
  <si>
    <t>000399</t>
  </si>
  <si>
    <t>000406</t>
  </si>
  <si>
    <t>000407</t>
  </si>
  <si>
    <t>000411</t>
  </si>
  <si>
    <t>000415</t>
  </si>
  <si>
    <t>000416</t>
  </si>
  <si>
    <t>000419</t>
  </si>
  <si>
    <t>000420</t>
  </si>
  <si>
    <t>000421</t>
  </si>
  <si>
    <t>000423</t>
  </si>
  <si>
    <t>000426</t>
  </si>
  <si>
    <t>000430</t>
  </si>
  <si>
    <t>000437</t>
  </si>
  <si>
    <t>000439</t>
  </si>
  <si>
    <t>000440</t>
  </si>
  <si>
    <t>000442</t>
  </si>
  <si>
    <t>=YEARfrac(=today,d4)</t>
  </si>
  <si>
    <t>Monthly Inventory Worksheet, Version 2</t>
  </si>
  <si>
    <t>=IF(OR(DATEDIF(TODAY(),D11,"M")=1,DATEDIF(TODAY(),D11,"M"))=0,8,22)</t>
  </si>
  <si>
    <t>Surplus</t>
  </si>
  <si>
    <t>F
Wirtz Minimum
(in cases)</t>
  </si>
  <si>
    <t>10" Towel Dispenser Towels</t>
  </si>
  <si>
    <t>Gloves (S)</t>
  </si>
  <si>
    <t>Gloves (M)</t>
  </si>
  <si>
    <t>Gloves (L)</t>
  </si>
  <si>
    <t>Gloves (XL)</t>
  </si>
  <si>
    <t>1,0</t>
  </si>
  <si>
    <t>4. Collect upcoming surplus counts -- from expiring items. See #8 in Notes below. Items in</t>
  </si>
  <si>
    <t>the Surplus column (E) will be colored red when their use-by date indicates they are so.</t>
  </si>
  <si>
    <t>7. Mark up Michael's POF printout with any non-zero number that is in column C. Note the</t>
  </si>
  <si>
    <t>suggestion to round up to a tier or whole pallet given below in the notes. Scan Michael's</t>
  </si>
  <si>
    <t xml:space="preserve">updated POF and email it to him. Try to have this done the day you receive his original </t>
  </si>
  <si>
    <t>POF -- which will usually come via email on the 1st day of the month.</t>
  </si>
  <si>
    <t>show the number as bold and green in this spreadsheet's Michael Append column.</t>
  </si>
  <si>
    <t>4. Note that it is unnecessary for the rack count field to be filled if the shelf already</t>
  </si>
  <si>
    <t>contains more than the Wirtz Minimum.</t>
  </si>
  <si>
    <t>5. The operations guide specifies we maintain a 3-6 month stock of non-perishable items</t>
  </si>
  <si>
    <t>The Wirtz Minimum concerns only  the low end of what we expect to need for the next</t>
  </si>
  <si>
    <t xml:space="preserve">month's business, so the calculation used to produce the Michael Append </t>
  </si>
  <si>
    <t>7. If you will print this spreadsheet, be sure to only print the first six or seven pages</t>
  </si>
  <si>
    <t>to avoid printing unnecessarily.</t>
  </si>
  <si>
    <t>8. Non-perishable items with a “best-by” date 30 days or less in the future and perishable</t>
  </si>
  <si>
    <t>K
G+H-(I+J) Net Stock</t>
  </si>
  <si>
    <t>3,2,2</t>
  </si>
  <si>
    <t>3,2,1</t>
  </si>
  <si>
    <t>1,1,1</t>
  </si>
  <si>
    <t>Storehouse
Location Row  Column Shelf</t>
  </si>
  <si>
    <t>1,2,2</t>
  </si>
  <si>
    <t>1,2,1</t>
  </si>
  <si>
    <t>1,3,1</t>
  </si>
  <si>
    <t>1,3,2</t>
  </si>
  <si>
    <t>1,4,1</t>
  </si>
  <si>
    <t>1,4,2</t>
  </si>
  <si>
    <t>1,5,1</t>
  </si>
  <si>
    <t>1,5,2</t>
  </si>
  <si>
    <t>1,6,1</t>
  </si>
  <si>
    <t>2,1,1</t>
  </si>
  <si>
    <t>2,1,2</t>
  </si>
  <si>
    <t>2,2,2</t>
  </si>
  <si>
    <t>2,2,1</t>
  </si>
  <si>
    <t>2,3,2</t>
  </si>
  <si>
    <t>2,3,1</t>
  </si>
  <si>
    <t>2,4,1</t>
  </si>
  <si>
    <t>2,4,2</t>
  </si>
  <si>
    <t>2,5,2</t>
  </si>
  <si>
    <t>2,5,1</t>
  </si>
  <si>
    <t>2,7,4</t>
  </si>
  <si>
    <t>2,7,1</t>
  </si>
  <si>
    <t>2,6,1</t>
  </si>
  <si>
    <t>2,6,2</t>
  </si>
  <si>
    <t>2,7,3</t>
  </si>
  <si>
    <t>2,7,2</t>
  </si>
  <si>
    <t>3,3,1</t>
  </si>
  <si>
    <t>3,3,2</t>
  </si>
  <si>
    <t>3,4,2</t>
  </si>
  <si>
    <t>3,4,1</t>
  </si>
  <si>
    <t>3,5,2</t>
  </si>
  <si>
    <t>3,5,1</t>
  </si>
  <si>
    <t>3,6,1</t>
  </si>
  <si>
    <t>3,6,2</t>
  </si>
  <si>
    <t>4,2,1</t>
  </si>
  <si>
    <t>4,4,2</t>
  </si>
  <si>
    <t>4,4,1</t>
  </si>
  <si>
    <t>4,5,2</t>
  </si>
  <si>
    <t>4,5,1</t>
  </si>
  <si>
    <t>Soonest
 Use-by
Date 
        1</t>
  </si>
  <si>
    <t>I
Send to surplus
      3</t>
  </si>
  <si>
    <t>J
Upcoming Humanitarian count
            4</t>
  </si>
  <si>
    <t>G
Current Rack
count 
(if below Wirtz #)
     2</t>
  </si>
  <si>
    <t>H Transfer quantity (pasted into  Michael's POF area) 
      5</t>
  </si>
  <si>
    <t>Michael's POF</t>
  </si>
  <si>
    <t>Add this number to Michael's POF Tranfer Quantity and return to him
        6</t>
  </si>
  <si>
    <t>1. Save this spreadsheet as the current date plus its name.</t>
  </si>
  <si>
    <t>(e.g. 20260226 Monthly Inventory Worksheet.xlsx).</t>
  </si>
  <si>
    <t>6. See that the values in columns 3 and 4 above are inserted into this spreadsheet.</t>
  </si>
  <si>
    <t xml:space="preserve">it into a separate transfer spreadsheet. Give it a name like </t>
  </si>
  <si>
    <t>20260301-DynamicsExport_639080686877680230. Copy the colored part of the transfer</t>
  </si>
  <si>
    <t xml:space="preserve"> spreadsheet to this one, placing its "Item number" field on this sheet's 03 cell.</t>
  </si>
  <si>
    <t>2. Two weeks before the next order, inspect shop shelves and update the use-by date</t>
  </si>
  <si>
    <t>column for each item that is less than 60 days from today.</t>
  </si>
  <si>
    <t>95 Gallon trash bags</t>
  </si>
  <si>
    <t>4,2,2</t>
  </si>
  <si>
    <t>Add to
order</t>
  </si>
  <si>
    <t>Use-by
date</t>
  </si>
  <si>
    <t>Wirtz
number</t>
  </si>
  <si>
    <t>Shelf
count</t>
  </si>
  <si>
    <t>POF</t>
  </si>
  <si>
    <t>Total</t>
  </si>
  <si>
    <t>Items
per
case</t>
  </si>
  <si>
    <t>Items
per
tier</t>
  </si>
  <si>
    <t>1,6,3</t>
  </si>
  <si>
    <t>Chicken Breast Pieces (canned)</t>
  </si>
  <si>
    <t>Diced Tomatoes 401</t>
  </si>
  <si>
    <t>Soup, Chicken Flavored Rotini</t>
  </si>
  <si>
    <t>Applesauce 26.5oz</t>
  </si>
  <si>
    <t>Peanut Butter 16 oz (New)</t>
  </si>
  <si>
    <t>Pudding, Vanilla</t>
  </si>
  <si>
    <t>Sugar, Brown</t>
  </si>
  <si>
    <t>Vanilla Flavor</t>
  </si>
  <si>
    <t>Refried Beans (Dehydrated)</t>
  </si>
  <si>
    <t>Pancake and waffle Mix</t>
  </si>
  <si>
    <t>Cake Mix, Chocolate</t>
  </si>
  <si>
    <t>Cake Mix, Yellow</t>
  </si>
  <si>
    <t>Flour, white 5lb</t>
  </si>
  <si>
    <t>Spaghetti</t>
  </si>
  <si>
    <t>000255</t>
  </si>
  <si>
    <t>Potatoes</t>
  </si>
  <si>
    <t>Cleanser</t>
  </si>
  <si>
    <t>Shampoo with Conditioner</t>
  </si>
  <si>
    <t>Toothbrush,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</si>
</sst>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sz val="14"/>
      <color rgb="FF7030A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599963377788628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16" fontId="4" fillId="0" borderId="3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 applyAlignment="1">
      <alignment horizontal="center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quotePrefix="1"/>
    <xf numFmtId="0" fontId="5" fillId="0" borderId="0" xfId="0" applyFont="1"/>
    <xf numFmtId="49" fontId="4" fillId="0" borderId="2" xfId="0" applyNumberFormat="1" applyFont="1" applyBorder="1"/>
    <xf numFmtId="49" fontId="4" fillId="0" borderId="7" xfId="0" applyNumberFormat="1" applyFont="1" applyBorder="1"/>
    <xf numFmtId="49" fontId="0" fillId="0" borderId="0" xfId="0" applyNumberFormat="1"/>
    <xf numFmtId="2" fontId="0" fillId="0" borderId="0" xfId="0" applyNumberFormat="1" applyAlignment="1">
      <alignment horizontal="right"/>
    </xf>
    <xf numFmtId="1" fontId="0" fillId="0" borderId="1" xfId="0" applyNumberFormat="1" applyBorder="1"/>
    <xf numFmtId="1" fontId="4" fillId="0" borderId="1" xfId="0" applyNumberFormat="1" applyFont="1" applyBorder="1"/>
    <xf numFmtId="1" fontId="4" fillId="0" borderId="8" xfId="0" applyNumberFormat="1" applyFont="1" applyBorder="1"/>
    <xf numFmtId="1" fontId="4" fillId="3" borderId="1" xfId="0" applyNumberFormat="1" applyFont="1" applyFill="1" applyBorder="1"/>
    <xf numFmtId="0" fontId="6" fillId="0" borderId="1" xfId="0" applyFont="1" applyBorder="1"/>
    <xf numFmtId="49" fontId="6" fillId="0" borderId="0" xfId="0" applyNumberFormat="1" applyFont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/>
    <xf numFmtId="0" fontId="4" fillId="4" borderId="1" xfId="0" applyFont="1" applyFill="1" applyBorder="1"/>
    <xf numFmtId="49" fontId="0" fillId="0" borderId="0" xfId="0" quotePrefix="1" applyNumberFormat="1" applyAlignment="1">
      <alignment horizontal="left"/>
    </xf>
    <xf numFmtId="49" fontId="4" fillId="0" borderId="0" xfId="0" applyNumberFormat="1" applyFont="1"/>
    <xf numFmtId="1" fontId="4" fillId="3" borderId="0" xfId="0" applyNumberFormat="1" applyFont="1" applyFill="1"/>
    <xf numFmtId="1" fontId="4" fillId="0" borderId="0" xfId="0" applyNumberFormat="1" applyFont="1"/>
    <xf numFmtId="0" fontId="4" fillId="0" borderId="0" xfId="0" applyFont="1"/>
    <xf numFmtId="1" fontId="0" fillId="0" borderId="0" xfId="0" applyNumberForma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" fontId="4" fillId="4" borderId="1" xfId="0" applyNumberFormat="1" applyFont="1" applyFill="1" applyBorder="1"/>
    <xf numFmtId="0" fontId="8" fillId="0" borderId="0" xfId="0" applyFont="1"/>
    <xf numFmtId="1" fontId="9" fillId="0" borderId="1" xfId="0" applyNumberFormat="1" applyFont="1" applyBorder="1"/>
    <xf numFmtId="0" fontId="9" fillId="0" borderId="0" xfId="0" applyFont="1"/>
    <xf numFmtId="49" fontId="6" fillId="0" borderId="1" xfId="0" applyNumberFormat="1" applyFont="1" applyBorder="1" applyAlignment="1">
      <alignment horizontal="left"/>
    </xf>
    <xf numFmtId="0" fontId="6" fillId="0" borderId="0" xfId="0" applyFont="1"/>
    <xf numFmtId="1" fontId="6" fillId="3" borderId="1" xfId="0" applyNumberFormat="1" applyFont="1" applyFill="1" applyBorder="1"/>
    <xf numFmtId="0" fontId="1" fillId="5" borderId="0" xfId="0" applyFont="1" applyFill="1"/>
    <xf numFmtId="0" fontId="0" fillId="5" borderId="0" xfId="0" applyFill="1"/>
    <xf numFmtId="1" fontId="10" fillId="5" borderId="0" xfId="0" applyNumberFormat="1" applyFont="1" applyFill="1" applyAlignment="1">
      <alignment wrapText="1"/>
    </xf>
    <xf numFmtId="0" fontId="10" fillId="5" borderId="0" xfId="0" applyFont="1" applyFill="1"/>
    <xf numFmtId="1" fontId="1" fillId="5" borderId="0" xfId="0" applyNumberFormat="1" applyFont="1" applyFill="1" applyAlignment="1">
      <alignment wrapText="1"/>
    </xf>
    <xf numFmtId="0" fontId="10" fillId="5" borderId="0" xfId="0" applyFont="1" applyFill="1" applyAlignment="1">
      <alignment wrapText="1"/>
    </xf>
    <xf numFmtId="1" fontId="10" fillId="5" borderId="0" xfId="0" applyNumberFormat="1" applyFont="1" applyFill="1"/>
    <xf numFmtId="0" fontId="10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11" fillId="0" borderId="1" xfId="0" applyFont="1" applyBorder="1"/>
    <xf numFmtId="0" fontId="12" fillId="0" borderId="1" xfId="0" applyFont="1" applyBorder="1"/>
  </cellXfs>
  <cellStyles count="1">
    <cellStyle name="Normal" xfId="0" builtinId="0"/>
  </cellStyles>
  <dxfs count="24">
    <dxf>
      <font>
        <color rgb="FFFF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30" formatCode="@"/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164" formatCode="yyyy\-mm\-dd;@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fill>
        <patternFill patternType="solid">
          <fgColor indexed="64"/>
          <bgColor theme="3" tint="0.8999603259376811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65722-F916-4493-BF38-284E8ABE9D0A}" name="Table1" displayName="Table1" ref="A3:N115" totalsRowShown="0" headerRowDxfId="23" dataDxfId="21" headerRowBorderDxfId="22" tableBorderDxfId="20" totalsRowBorderDxfId="19">
  <autoFilter ref="A3:N115" xr:uid="{2AB65722-F916-4493-BF38-284E8ABE9D0A}"/>
  <sortState xmlns:xlrd2="http://schemas.microsoft.com/office/spreadsheetml/2017/richdata2" ref="A4:N115">
    <sortCondition ref="N4:N115"/>
  </sortState>
  <tableColumns count="14">
    <tableColumn id="1" xr3:uid="{68DB10E2-4767-4D79-B202-52116527DA7A}" name="Item number" dataDxfId="18"/>
    <tableColumn id="2" xr3:uid="{915A9499-71E9-4EFA-8ABE-577EAE3FB3A6}" name="Product name" dataDxfId="17"/>
    <tableColumn id="3" xr3:uid="{55C5AB36-3A0A-48DB-B57A-3B8D62594FEE}" name="Add this number to Michael's POF Tranfer Quantity and return to him_x000a_        6" dataDxfId="16">
      <calculatedColumnFormula>IF(AND($C$2*F4&gt;K4,G4+H4+I4+J4&lt;&gt;0),$C$2*F4-K4,0)</calculatedColumnFormula>
    </tableColumn>
    <tableColumn id="13" xr3:uid="{C44F50D1-C41F-4FBF-A924-95DF02631F2F}" name="Soonest_x000a_ Use-by_x000a_Date _x000a_        1" dataDxfId="15"/>
    <tableColumn id="16" xr3:uid="{21A66687-FCA1-4818-92EF-385830EF5740}" name="Surplus" dataDxfId="14">
      <calculatedColumnFormula>IF(OR(DATEDIF(TODAY(),D4,"M")=1,DATEDIF(TODAY(),D4,"M")=0),1,0)</calculatedColumnFormula>
    </tableColumn>
    <tableColumn id="4" xr3:uid="{A51A59C2-F09D-47DE-9678-959186B87BAF}" name="F_x000a_Wirtz Minimum_x000a_(in cases)" dataDxfId="13"/>
    <tableColumn id="5" xr3:uid="{CFFB1AD8-5493-4BF9-893B-0FC6BB270DC1}" name="G_x000a_Current Rack_x000a_count _x000a_(if below Wirtz #)_x000a_     2" dataDxfId="12"/>
    <tableColumn id="6" xr3:uid="{BA012646-0D3C-4C91-BE27-5661B1F09561}" name="H Transfer quantity (pasted into  Michael's POF area) _x000a_      5" dataDxfId="11"/>
    <tableColumn id="7" xr3:uid="{180F78FC-E2B7-4007-9AD2-369871A6C73B}" name="I_x000a_Send to surplus_x000a_      3" dataDxfId="10"/>
    <tableColumn id="8" xr3:uid="{33192EB8-1EE5-4FE3-85ED-AC633C7EE6E5}" name="J_x000a_Upcoming Humanitarian count_x000a_            4" dataDxfId="9"/>
    <tableColumn id="9" xr3:uid="{F8A1AD6F-AF64-4AF5-9407-B58BC417B45A}" name="K_x000a_G+H-(I+J) Net Stock" dataDxfId="8">
      <calculatedColumnFormula>G4+H4-(I4+J4)</calculatedColumnFormula>
    </tableColumn>
    <tableColumn id="10" xr3:uid="{E2AADA88-D0BD-4DE0-B8E2-AEED56034D20}" name="Items_x000a_Per _x000a_case" dataDxfId="7"/>
    <tableColumn id="11" xr3:uid="{EE71BAEE-B470-4398-B5D7-8DC7726EEDB3}" name="Items_x000a_Per_x000a_tier" dataDxfId="6"/>
    <tableColumn id="12" xr3:uid="{94E9E363-CE77-4DDD-A20A-931697D1BE9D}" name="Storehouse_x000a_Location Row  Column Shelf" dataDxfId="5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59C94C-1D9D-4C29-A53E-01B7C835D987}" name="AxTable1" displayName="AxTable1" ref="O3:Q115" totalsRowShown="0">
  <autoFilter ref="O3:Q115" xr:uid="{1F59C94C-1D9D-4C29-A53E-01B7C835D987}"/>
  <sortState xmlns:xlrd2="http://schemas.microsoft.com/office/spreadsheetml/2017/richdata2" ref="O4:P36">
    <sortCondition ref="O2:O34"/>
  </sortState>
  <tableColumns count="3">
    <tableColumn id="1" xr3:uid="{E7EAF50D-9938-4BE7-9F20-56E46EDFA26C}" name="Item number" dataDxfId="4"/>
    <tableColumn id="5" xr3:uid="{2A182CDF-A3F5-4DE6-9C9A-16F411B52937}" name="Product name" dataDxfId="3"/>
    <tableColumn id="2" xr3:uid="{D32553BB-055B-4242-A456-521883B88861}" name="Transfer quant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E236-100C-45FC-A3D1-EB79F59CB857}">
  <dimension ref="A1:S176"/>
  <sheetViews>
    <sheetView tabSelected="1" workbookViewId="0"/>
  </sheetViews>
  <sheetFormatPr defaultRowHeight="15" x14ac:dyDescent="0.25"/>
  <cols>
    <col min="1" max="1" width="7.28515625" customWidth="1"/>
    <col min="2" max="2" width="27" customWidth="1"/>
    <col min="3" max="3" width="8.7109375" customWidth="1"/>
    <col min="4" max="4" width="10.140625" customWidth="1"/>
    <col min="5" max="5" width="2" customWidth="1"/>
    <col min="6" max="6" width="8.7109375" customWidth="1"/>
    <col min="7" max="7" width="7" customWidth="1"/>
    <col min="8" max="8" width="8.140625" customWidth="1"/>
    <col min="9" max="9" width="6.7109375" customWidth="1"/>
    <col min="10" max="10" width="11" customWidth="1"/>
    <col min="11" max="11" width="5.7109375" customWidth="1"/>
    <col min="12" max="13" width="6" customWidth="1"/>
    <col min="14" max="14" width="7.5703125" customWidth="1"/>
    <col min="15" max="15" width="16.85546875" customWidth="1"/>
    <col min="16" max="16" width="21.140625" customWidth="1"/>
    <col min="17" max="17" width="25" customWidth="1"/>
    <col min="18" max="18" width="21.5703125" customWidth="1"/>
    <col min="19" max="19" width="21.42578125" customWidth="1"/>
  </cols>
  <sheetData>
    <row r="1" spans="1:19" x14ac:dyDescent="0.25">
      <c r="A1" t="s">
        <v>0</v>
      </c>
      <c r="D1" s="1">
        <v>46209</v>
      </c>
      <c r="F1" s="1"/>
    </row>
    <row r="2" spans="1:19" ht="21" x14ac:dyDescent="0.35">
      <c r="A2" t="s">
        <v>262</v>
      </c>
      <c r="C2">
        <v>1</v>
      </c>
      <c r="D2" t="s">
        <v>109</v>
      </c>
      <c r="H2" s="1"/>
      <c r="P2" s="39" t="s">
        <v>335</v>
      </c>
    </row>
    <row r="3" spans="1:19" s="4" customFormat="1" ht="123" customHeight="1" x14ac:dyDescent="0.25">
      <c r="A3" s="5" t="s">
        <v>113</v>
      </c>
      <c r="B3" s="6" t="s">
        <v>112</v>
      </c>
      <c r="C3" s="6" t="s">
        <v>336</v>
      </c>
      <c r="D3" s="6" t="s">
        <v>330</v>
      </c>
      <c r="E3" s="6" t="s">
        <v>264</v>
      </c>
      <c r="F3" s="6" t="s">
        <v>265</v>
      </c>
      <c r="G3" s="6" t="s">
        <v>333</v>
      </c>
      <c r="H3" s="6" t="s">
        <v>334</v>
      </c>
      <c r="I3" s="6" t="s">
        <v>331</v>
      </c>
      <c r="J3" s="6" t="s">
        <v>332</v>
      </c>
      <c r="K3" s="6" t="s">
        <v>287</v>
      </c>
      <c r="L3" s="6" t="s">
        <v>99</v>
      </c>
      <c r="M3" s="6" t="s">
        <v>100</v>
      </c>
      <c r="N3" s="7" t="s">
        <v>291</v>
      </c>
      <c r="O3" t="s">
        <v>113</v>
      </c>
      <c r="P3" t="s">
        <v>112</v>
      </c>
      <c r="Q3" t="s">
        <v>114</v>
      </c>
      <c r="R3"/>
      <c r="S3"/>
    </row>
    <row r="4" spans="1:19" x14ac:dyDescent="0.25">
      <c r="A4" s="17" t="s">
        <v>208</v>
      </c>
      <c r="B4" s="25" t="s">
        <v>52</v>
      </c>
      <c r="C4" s="24">
        <f t="shared" ref="C4:C35" si="0">IF(AND($C$2*F4&gt;K4,G4+H4+I4+J4&lt;&gt;0),$C$2*F4-K4,0)</f>
        <v>0</v>
      </c>
      <c r="D4" s="28">
        <v>46356</v>
      </c>
      <c r="E4" s="8">
        <f ca="1">IF(OR(DATEDIF(TODAY(),D4,"M")=1,DATEDIF(TODAY(),D4,"M")=0),1,0)</f>
        <v>0</v>
      </c>
      <c r="F4" s="22">
        <v>27</v>
      </c>
      <c r="G4" s="22">
        <v>0</v>
      </c>
      <c r="H4" s="21">
        <f>_xlfn.XLOOKUP("000213", Sheet1!$O$4:$O$115, Sheet1!$Q$4:$Q$115,0)</f>
        <v>0</v>
      </c>
      <c r="I4" s="8"/>
      <c r="J4" s="8"/>
      <c r="K4" s="22">
        <f t="shared" ref="K4:K35" si="1">G4+H4-(I4+J4)</f>
        <v>0</v>
      </c>
      <c r="L4" s="8">
        <v>9</v>
      </c>
      <c r="M4" s="8">
        <v>6</v>
      </c>
      <c r="N4" s="9" t="s">
        <v>290</v>
      </c>
      <c r="O4" s="13" t="s">
        <v>154</v>
      </c>
      <c r="P4" s="13" t="s">
        <v>7</v>
      </c>
      <c r="Q4" s="14">
        <v>17</v>
      </c>
      <c r="R4" s="29" t="s">
        <v>261</v>
      </c>
      <c r="S4" s="14"/>
    </row>
    <row r="5" spans="1:19" x14ac:dyDescent="0.25">
      <c r="A5" s="17" t="s">
        <v>211</v>
      </c>
      <c r="B5" s="25" t="s">
        <v>55</v>
      </c>
      <c r="C5" s="24">
        <f t="shared" si="0"/>
        <v>7</v>
      </c>
      <c r="D5" s="27">
        <v>46301</v>
      </c>
      <c r="E5" s="8">
        <f ca="1">IF(OR(DATEDIF(TODAY(),D5,"M")=1,DATEDIF(TODAY(),D5,"M")=0),1,0)</f>
        <v>0</v>
      </c>
      <c r="F5" s="22">
        <v>27</v>
      </c>
      <c r="G5" s="22">
        <v>20</v>
      </c>
      <c r="H5" s="21">
        <f>_xlfn.XLOOKUP("000223", Sheet1!$O$4:$O$115, Sheet1!$Q$4:$Q$115,0)</f>
        <v>0</v>
      </c>
      <c r="I5" s="8"/>
      <c r="J5" s="8"/>
      <c r="K5" s="22">
        <f t="shared" si="1"/>
        <v>20</v>
      </c>
      <c r="L5" s="8">
        <v>10</v>
      </c>
      <c r="M5" s="8">
        <v>9</v>
      </c>
      <c r="N5" s="9" t="s">
        <v>290</v>
      </c>
      <c r="O5" s="13" t="s">
        <v>158</v>
      </c>
      <c r="P5" s="13" t="s">
        <v>356</v>
      </c>
      <c r="Q5" s="14">
        <v>32</v>
      </c>
      <c r="R5" s="30" t="s">
        <v>263</v>
      </c>
      <c r="S5" s="14"/>
    </row>
    <row r="6" spans="1:19" x14ac:dyDescent="0.25">
      <c r="A6" s="17" t="s">
        <v>214</v>
      </c>
      <c r="B6" s="42" t="s">
        <v>126</v>
      </c>
      <c r="C6" s="24">
        <f t="shared" si="0"/>
        <v>0</v>
      </c>
      <c r="D6" s="27">
        <v>46429</v>
      </c>
      <c r="E6" s="8">
        <f ca="1">IF(OR(DATEDIF(TODAY(),D6,"M")=1,DATEDIF(TODAY(),D6,"M")=0),1,0)</f>
        <v>0</v>
      </c>
      <c r="F6" s="22">
        <v>9</v>
      </c>
      <c r="G6" s="22">
        <v>10</v>
      </c>
      <c r="H6" s="21">
        <f>_xlfn.XLOOKUP("000231", Sheet1!$O$4:$O$115, Sheet1!$Q$4:$Q$115,0)</f>
        <v>0</v>
      </c>
      <c r="I6" s="8"/>
      <c r="J6" s="8"/>
      <c r="K6" s="22">
        <f t="shared" si="1"/>
        <v>10</v>
      </c>
      <c r="L6" s="8">
        <v>16</v>
      </c>
      <c r="M6" s="8">
        <v>9</v>
      </c>
      <c r="N6" s="9" t="s">
        <v>293</v>
      </c>
      <c r="O6" s="13" t="s">
        <v>159</v>
      </c>
      <c r="P6" s="13" t="s">
        <v>11</v>
      </c>
      <c r="Q6" s="14">
        <v>17</v>
      </c>
      <c r="R6" s="13"/>
      <c r="S6" s="14"/>
    </row>
    <row r="7" spans="1:19" x14ac:dyDescent="0.25">
      <c r="A7" s="17" t="s">
        <v>239</v>
      </c>
      <c r="B7" s="25" t="s">
        <v>74</v>
      </c>
      <c r="C7" s="24">
        <f t="shared" si="0"/>
        <v>0</v>
      </c>
      <c r="D7" s="27"/>
      <c r="E7" s="8"/>
      <c r="F7" s="22">
        <v>10</v>
      </c>
      <c r="G7" s="22">
        <v>0</v>
      </c>
      <c r="H7" s="21">
        <f>_xlfn.XLOOKUP("000366", Sheet1!$O$4:$O$115, Sheet1!$Q$4:$Q$115,0)</f>
        <v>0</v>
      </c>
      <c r="I7" s="8"/>
      <c r="J7" s="8"/>
      <c r="K7" s="22">
        <f t="shared" si="1"/>
        <v>0</v>
      </c>
      <c r="L7" s="8">
        <v>4</v>
      </c>
      <c r="M7" s="8">
        <v>10</v>
      </c>
      <c r="N7" s="9" t="s">
        <v>293</v>
      </c>
      <c r="O7" s="13" t="s">
        <v>161</v>
      </c>
      <c r="P7" s="13" t="s">
        <v>116</v>
      </c>
      <c r="Q7" s="14">
        <v>12</v>
      </c>
      <c r="R7" s="13"/>
      <c r="S7" s="14"/>
    </row>
    <row r="8" spans="1:19" ht="18.75" x14ac:dyDescent="0.3">
      <c r="A8" s="17" t="s">
        <v>199</v>
      </c>
      <c r="B8" s="42" t="s">
        <v>124</v>
      </c>
      <c r="C8" s="24">
        <f t="shared" si="0"/>
        <v>2</v>
      </c>
      <c r="D8" s="27">
        <v>46260</v>
      </c>
      <c r="E8" s="8">
        <f ca="1">IF(OR(DATEDIF(TODAY(),D8,"M")=1,DATEDIF(TODAY(),D8,"M")=0),1,0)</f>
        <v>1</v>
      </c>
      <c r="F8" s="22">
        <v>4</v>
      </c>
      <c r="G8" s="22">
        <v>10</v>
      </c>
      <c r="H8" s="21">
        <f>_xlfn.XLOOKUP("000182", Sheet1!$O$4:$O$115, Sheet1!$Q$4:$Q$115,0)</f>
        <v>0</v>
      </c>
      <c r="I8" s="54">
        <v>8</v>
      </c>
      <c r="J8" s="8"/>
      <c r="K8" s="22">
        <f t="shared" si="1"/>
        <v>2</v>
      </c>
      <c r="L8" s="8">
        <v>6</v>
      </c>
      <c r="M8" s="8">
        <v>20</v>
      </c>
      <c r="N8" s="9" t="s">
        <v>292</v>
      </c>
      <c r="O8" s="13" t="s">
        <v>162</v>
      </c>
      <c r="P8" s="13" t="s">
        <v>357</v>
      </c>
      <c r="Q8" s="14">
        <v>20</v>
      </c>
      <c r="R8" s="13"/>
      <c r="S8" s="14"/>
    </row>
    <row r="9" spans="1:19" x14ac:dyDescent="0.25">
      <c r="A9" s="17" t="s">
        <v>200</v>
      </c>
      <c r="B9" s="42" t="s">
        <v>44</v>
      </c>
      <c r="C9" s="24">
        <f t="shared" si="0"/>
        <v>0</v>
      </c>
      <c r="D9" s="27">
        <v>46811</v>
      </c>
      <c r="E9" s="8">
        <f ca="1">IF(OR(DATEDIF(TODAY(),D9,"M")=1,DATEDIF(TODAY(),D9,"M")=0),1,0)</f>
        <v>0</v>
      </c>
      <c r="F9" s="22">
        <v>4</v>
      </c>
      <c r="G9" s="22">
        <v>4</v>
      </c>
      <c r="H9" s="21">
        <f>_xlfn.XLOOKUP("000184", Sheet1!$O$4:$O$115, Sheet1!$Q$4:$Q$115,0)</f>
        <v>6</v>
      </c>
      <c r="I9" s="8"/>
      <c r="J9" s="8"/>
      <c r="K9" s="22">
        <f t="shared" si="1"/>
        <v>10</v>
      </c>
      <c r="L9" s="8">
        <v>6</v>
      </c>
      <c r="M9" s="8">
        <v>16</v>
      </c>
      <c r="N9" s="9" t="s">
        <v>292</v>
      </c>
      <c r="O9" s="13" t="s">
        <v>163</v>
      </c>
      <c r="P9" s="13" t="s">
        <v>14</v>
      </c>
      <c r="Q9" s="14">
        <v>17</v>
      </c>
      <c r="R9" s="13"/>
      <c r="S9" s="14"/>
    </row>
    <row r="10" spans="1:19" x14ac:dyDescent="0.25">
      <c r="A10" s="17" t="s">
        <v>236</v>
      </c>
      <c r="B10" s="43" t="s">
        <v>71</v>
      </c>
      <c r="C10" s="24">
        <f t="shared" si="0"/>
        <v>0</v>
      </c>
      <c r="D10" s="27"/>
      <c r="E10" s="8"/>
      <c r="F10" s="22">
        <v>8</v>
      </c>
      <c r="G10" s="22">
        <v>19</v>
      </c>
      <c r="H10" s="21">
        <f>_xlfn.XLOOKUP("000362", Sheet1!$O$4:$O$115, Sheet1!$Q$4:$Q$115,0)</f>
        <v>0</v>
      </c>
      <c r="I10" s="8"/>
      <c r="J10" s="8"/>
      <c r="K10" s="22">
        <f t="shared" si="1"/>
        <v>19</v>
      </c>
      <c r="L10" s="8">
        <v>4</v>
      </c>
      <c r="M10" s="8">
        <v>13</v>
      </c>
      <c r="N10" s="9" t="s">
        <v>292</v>
      </c>
      <c r="O10" s="13" t="s">
        <v>164</v>
      </c>
      <c r="P10" s="13" t="s">
        <v>358</v>
      </c>
      <c r="Q10" s="14">
        <v>17</v>
      </c>
      <c r="R10" s="13"/>
      <c r="S10" s="14"/>
    </row>
    <row r="11" spans="1:19" x14ac:dyDescent="0.25">
      <c r="A11" s="17" t="s">
        <v>238</v>
      </c>
      <c r="B11" s="25" t="s">
        <v>73</v>
      </c>
      <c r="C11" s="24">
        <f t="shared" si="0"/>
        <v>0</v>
      </c>
      <c r="D11" s="27"/>
      <c r="E11" s="8"/>
      <c r="F11" s="22">
        <v>8</v>
      </c>
      <c r="G11" s="22">
        <v>0</v>
      </c>
      <c r="H11" s="21">
        <f>_xlfn.XLOOKUP("000365", Sheet1!$O$4:$O$115, Sheet1!$Q$4:$Q$115,0)</f>
        <v>0</v>
      </c>
      <c r="I11" s="8"/>
      <c r="J11" s="8"/>
      <c r="K11" s="22">
        <f t="shared" si="1"/>
        <v>0</v>
      </c>
      <c r="L11" s="8">
        <v>4</v>
      </c>
      <c r="M11" s="8">
        <v>10</v>
      </c>
      <c r="N11" s="9" t="s">
        <v>292</v>
      </c>
      <c r="O11" s="13" t="s">
        <v>169</v>
      </c>
      <c r="P11" s="13" t="s">
        <v>359</v>
      </c>
      <c r="Q11" s="14">
        <v>14</v>
      </c>
      <c r="R11" s="13"/>
      <c r="S11" s="14"/>
    </row>
    <row r="12" spans="1:19" x14ac:dyDescent="0.25">
      <c r="A12" s="17" t="s">
        <v>241</v>
      </c>
      <c r="B12" s="42" t="s">
        <v>76</v>
      </c>
      <c r="C12" s="24">
        <f t="shared" si="0"/>
        <v>0</v>
      </c>
      <c r="D12" s="27"/>
      <c r="E12" s="8"/>
      <c r="F12" s="22">
        <v>16</v>
      </c>
      <c r="G12" s="22">
        <v>68</v>
      </c>
      <c r="H12" s="21">
        <f>_xlfn.XLOOKUP("000370", Sheet1!$O$4:$O$115, Sheet1!$Q$4:$Q$115,0)</f>
        <v>0</v>
      </c>
      <c r="I12" s="8"/>
      <c r="J12" s="8">
        <v>12</v>
      </c>
      <c r="K12" s="22">
        <f t="shared" si="1"/>
        <v>56</v>
      </c>
      <c r="L12" s="8">
        <v>12</v>
      </c>
      <c r="M12" s="8">
        <v>15</v>
      </c>
      <c r="N12" s="9" t="s">
        <v>292</v>
      </c>
      <c r="O12" s="13" t="s">
        <v>174</v>
      </c>
      <c r="P12" s="13" t="s">
        <v>119</v>
      </c>
      <c r="Q12" s="14">
        <v>70</v>
      </c>
      <c r="R12" s="13"/>
      <c r="S12" s="14"/>
    </row>
    <row r="13" spans="1:19" x14ac:dyDescent="0.25">
      <c r="A13" s="17" t="s">
        <v>230</v>
      </c>
      <c r="B13" s="42" t="s">
        <v>132</v>
      </c>
      <c r="C13" s="24">
        <f t="shared" si="0"/>
        <v>0</v>
      </c>
      <c r="D13" s="27"/>
      <c r="E13" s="8"/>
      <c r="F13" s="22">
        <v>15</v>
      </c>
      <c r="G13" s="22">
        <v>31</v>
      </c>
      <c r="H13" s="21">
        <f>_xlfn.XLOOKUP("000345", Sheet1!$O$4:$O$115, Sheet1!$Q$4:$Q$115,0)</f>
        <v>0</v>
      </c>
      <c r="I13" s="8"/>
      <c r="J13" s="8"/>
      <c r="K13" s="22">
        <f t="shared" si="1"/>
        <v>31</v>
      </c>
      <c r="L13" s="8">
        <v>6</v>
      </c>
      <c r="M13" s="8">
        <v>15</v>
      </c>
      <c r="N13" s="9" t="s">
        <v>294</v>
      </c>
      <c r="O13" s="13" t="s">
        <v>178</v>
      </c>
      <c r="P13" s="13" t="s">
        <v>120</v>
      </c>
      <c r="Q13" s="14">
        <v>9</v>
      </c>
      <c r="R13" s="13"/>
      <c r="S13" s="14"/>
    </row>
    <row r="14" spans="1:19" x14ac:dyDescent="0.25">
      <c r="A14" s="17" t="s">
        <v>232</v>
      </c>
      <c r="B14" s="25" t="s">
        <v>67</v>
      </c>
      <c r="C14" s="24">
        <f t="shared" si="0"/>
        <v>0</v>
      </c>
      <c r="D14" s="27"/>
      <c r="E14" s="8"/>
      <c r="F14" s="22">
        <v>5</v>
      </c>
      <c r="G14" s="22">
        <v>3</v>
      </c>
      <c r="H14" s="21">
        <f>_xlfn.XLOOKUP("000351", Sheet1!$O$4:$O$115, Sheet1!$Q$4:$Q$115,0)</f>
        <v>8</v>
      </c>
      <c r="I14" s="8"/>
      <c r="J14" s="8"/>
      <c r="K14" s="22">
        <f t="shared" si="1"/>
        <v>11</v>
      </c>
      <c r="L14" s="8">
        <v>24</v>
      </c>
      <c r="M14" s="8">
        <v>9</v>
      </c>
      <c r="N14" s="9" t="s">
        <v>294</v>
      </c>
      <c r="O14" s="13" t="s">
        <v>179</v>
      </c>
      <c r="P14" s="13" t="s">
        <v>360</v>
      </c>
      <c r="Q14" s="14">
        <v>15</v>
      </c>
      <c r="R14" s="13"/>
      <c r="S14" s="14"/>
    </row>
    <row r="15" spans="1:19" x14ac:dyDescent="0.25">
      <c r="A15" s="17" t="s">
        <v>240</v>
      </c>
      <c r="B15" s="43" t="s">
        <v>75</v>
      </c>
      <c r="C15" s="24">
        <f t="shared" si="0"/>
        <v>0</v>
      </c>
      <c r="D15" s="27"/>
      <c r="E15" s="8"/>
      <c r="F15" s="22">
        <v>4</v>
      </c>
      <c r="G15" s="22">
        <v>10</v>
      </c>
      <c r="H15" s="21">
        <f>_xlfn.XLOOKUP("000369", Sheet1!$O$4:$O$115, Sheet1!$Q$4:$Q$115,0)</f>
        <v>6</v>
      </c>
      <c r="I15" s="8"/>
      <c r="J15" s="8"/>
      <c r="K15" s="22">
        <f t="shared" si="1"/>
        <v>16</v>
      </c>
      <c r="L15" s="8">
        <v>35</v>
      </c>
      <c r="M15" s="8">
        <v>17</v>
      </c>
      <c r="N15" s="9" t="s">
        <v>294</v>
      </c>
      <c r="O15" s="13" t="s">
        <v>181</v>
      </c>
      <c r="P15" s="13" t="s">
        <v>121</v>
      </c>
      <c r="Q15" s="14">
        <v>8</v>
      </c>
      <c r="R15" s="13"/>
      <c r="S15" s="14"/>
    </row>
    <row r="16" spans="1:19" x14ac:dyDescent="0.25">
      <c r="A16" s="17" t="s">
        <v>243</v>
      </c>
      <c r="B16" s="25" t="s">
        <v>78</v>
      </c>
      <c r="C16" s="24">
        <f t="shared" si="0"/>
        <v>0</v>
      </c>
      <c r="D16" s="27"/>
      <c r="E16" s="8"/>
      <c r="F16" s="22">
        <v>4</v>
      </c>
      <c r="G16" s="22">
        <v>9</v>
      </c>
      <c r="H16" s="21">
        <f>_xlfn.XLOOKUP("000390", Sheet1!$O$4:$O$115, Sheet1!$Q$4:$Q$115,0)</f>
        <v>6</v>
      </c>
      <c r="I16" s="8"/>
      <c r="J16" s="8"/>
      <c r="K16" s="22">
        <f t="shared" si="1"/>
        <v>15</v>
      </c>
      <c r="L16" s="8">
        <v>24</v>
      </c>
      <c r="M16" s="8">
        <v>16</v>
      </c>
      <c r="N16" s="9" t="s">
        <v>294</v>
      </c>
      <c r="O16" s="13" t="s">
        <v>183</v>
      </c>
      <c r="P16" s="13" t="s">
        <v>361</v>
      </c>
      <c r="Q16" s="14">
        <v>4</v>
      </c>
      <c r="R16" s="13"/>
      <c r="S16" s="14"/>
    </row>
    <row r="17" spans="1:19" x14ac:dyDescent="0.25">
      <c r="A17" s="17" t="s">
        <v>233</v>
      </c>
      <c r="B17" s="43" t="s">
        <v>68</v>
      </c>
      <c r="C17" s="24">
        <f t="shared" si="0"/>
        <v>0</v>
      </c>
      <c r="D17" s="27"/>
      <c r="E17" s="8"/>
      <c r="F17" s="22">
        <v>18</v>
      </c>
      <c r="G17" s="22">
        <v>74</v>
      </c>
      <c r="H17" s="21">
        <f>_xlfn.XLOOKUP("000354", Sheet1!$O$4:$O$115, Sheet1!$Q$4:$Q$115,0)</f>
        <v>0</v>
      </c>
      <c r="I17" s="8"/>
      <c r="J17" s="8"/>
      <c r="K17" s="22">
        <f t="shared" si="1"/>
        <v>74</v>
      </c>
      <c r="L17" s="8">
        <v>12</v>
      </c>
      <c r="M17" s="8">
        <v>17</v>
      </c>
      <c r="N17" s="9" t="s">
        <v>295</v>
      </c>
      <c r="O17" s="13" t="s">
        <v>187</v>
      </c>
      <c r="P17" s="13" t="s">
        <v>123</v>
      </c>
      <c r="Q17" s="14">
        <v>8</v>
      </c>
      <c r="R17" s="13"/>
      <c r="S17" s="14"/>
    </row>
    <row r="18" spans="1:19" x14ac:dyDescent="0.25">
      <c r="A18" s="17" t="s">
        <v>244</v>
      </c>
      <c r="B18" s="25" t="s">
        <v>79</v>
      </c>
      <c r="C18" s="24">
        <f t="shared" si="0"/>
        <v>0</v>
      </c>
      <c r="D18" s="27"/>
      <c r="E18" s="8"/>
      <c r="F18" s="22">
        <v>10</v>
      </c>
      <c r="G18" s="22">
        <v>15</v>
      </c>
      <c r="H18" s="21">
        <f>_xlfn.XLOOKUP("000395", Sheet1!$O$4:$O$115, Sheet1!$Q$4:$Q$115,0)</f>
        <v>0</v>
      </c>
      <c r="I18" s="8"/>
      <c r="J18" s="8"/>
      <c r="K18" s="22">
        <f t="shared" si="1"/>
        <v>15</v>
      </c>
      <c r="L18" s="8">
        <v>36</v>
      </c>
      <c r="M18" s="8">
        <v>18</v>
      </c>
      <c r="N18" s="9" t="s">
        <v>295</v>
      </c>
      <c r="O18" s="13" t="s">
        <v>190</v>
      </c>
      <c r="P18" s="13" t="s">
        <v>35</v>
      </c>
      <c r="Q18" s="14">
        <v>10</v>
      </c>
      <c r="R18" s="13"/>
      <c r="S18" s="14"/>
    </row>
    <row r="19" spans="1:19" x14ac:dyDescent="0.25">
      <c r="A19" s="17" t="s">
        <v>252</v>
      </c>
      <c r="B19" s="26" t="s">
        <v>136</v>
      </c>
      <c r="C19" s="24">
        <f t="shared" si="0"/>
        <v>0</v>
      </c>
      <c r="D19" s="27"/>
      <c r="E19" s="8"/>
      <c r="F19" s="22">
        <v>18</v>
      </c>
      <c r="G19" s="22">
        <v>21</v>
      </c>
      <c r="H19" s="21">
        <f>_xlfn.XLOOKUP("000420", Sheet1!$O$4:$O$115, Sheet1!$Q$4:$Q$115,0)</f>
        <v>0</v>
      </c>
      <c r="I19" s="8"/>
      <c r="J19" s="8"/>
      <c r="K19" s="22">
        <f t="shared" si="1"/>
        <v>21</v>
      </c>
      <c r="L19" s="8">
        <v>6</v>
      </c>
      <c r="M19" s="8">
        <v>45</v>
      </c>
      <c r="N19" s="9" t="s">
        <v>295</v>
      </c>
      <c r="O19" s="13" t="s">
        <v>194</v>
      </c>
      <c r="P19" s="13" t="s">
        <v>362</v>
      </c>
      <c r="Q19" s="14">
        <v>12</v>
      </c>
      <c r="R19" s="13"/>
      <c r="S19" s="14"/>
    </row>
    <row r="20" spans="1:19" x14ac:dyDescent="0.25">
      <c r="A20" s="17" t="s">
        <v>231</v>
      </c>
      <c r="B20" s="25" t="s">
        <v>66</v>
      </c>
      <c r="C20" s="24">
        <f t="shared" si="0"/>
        <v>0</v>
      </c>
      <c r="D20" s="27"/>
      <c r="E20" s="8"/>
      <c r="F20" s="22">
        <v>10</v>
      </c>
      <c r="G20" s="22">
        <v>45</v>
      </c>
      <c r="H20" s="21">
        <f>_xlfn.XLOOKUP("000350", Sheet1!$O$4:$O$115, Sheet1!$Q$4:$Q$115,0)</f>
        <v>0</v>
      </c>
      <c r="I20" s="8"/>
      <c r="J20" s="8"/>
      <c r="K20" s="22">
        <f t="shared" si="1"/>
        <v>45</v>
      </c>
      <c r="L20" s="8">
        <v>12</v>
      </c>
      <c r="M20" s="8">
        <v>9</v>
      </c>
      <c r="N20" s="9" t="s">
        <v>296</v>
      </c>
      <c r="O20" s="13" t="s">
        <v>197</v>
      </c>
      <c r="P20" s="13" t="s">
        <v>363</v>
      </c>
      <c r="Q20" s="14">
        <v>2</v>
      </c>
      <c r="R20" s="13"/>
      <c r="S20" s="14"/>
    </row>
    <row r="21" spans="1:19" x14ac:dyDescent="0.25">
      <c r="A21" s="17" t="s">
        <v>234</v>
      </c>
      <c r="B21" s="25" t="s">
        <v>69</v>
      </c>
      <c r="C21" s="24">
        <f t="shared" si="0"/>
        <v>0</v>
      </c>
      <c r="D21" s="27"/>
      <c r="E21" s="8"/>
      <c r="F21" s="22">
        <v>18</v>
      </c>
      <c r="G21" s="22">
        <v>48</v>
      </c>
      <c r="H21" s="21">
        <f>_xlfn.XLOOKUP("000357", Sheet1!$O$4:$O$115, Sheet1!$Q$4:$Q$115,0)</f>
        <v>0</v>
      </c>
      <c r="I21" s="8"/>
      <c r="J21" s="8"/>
      <c r="K21" s="22">
        <f t="shared" si="1"/>
        <v>48</v>
      </c>
      <c r="L21" s="8">
        <v>10</v>
      </c>
      <c r="M21" s="8">
        <v>12</v>
      </c>
      <c r="N21" s="9" t="s">
        <v>296</v>
      </c>
      <c r="O21" s="13" t="s">
        <v>198</v>
      </c>
      <c r="P21" s="13" t="s">
        <v>43</v>
      </c>
      <c r="Q21" s="14">
        <v>1</v>
      </c>
      <c r="R21" s="13"/>
      <c r="S21" s="14"/>
    </row>
    <row r="22" spans="1:19" x14ac:dyDescent="0.25">
      <c r="A22" s="17" t="s">
        <v>237</v>
      </c>
      <c r="B22" s="43" t="s">
        <v>72</v>
      </c>
      <c r="C22" s="24">
        <f t="shared" si="0"/>
        <v>0</v>
      </c>
      <c r="D22" s="27"/>
      <c r="E22" s="8"/>
      <c r="F22" s="22">
        <v>16</v>
      </c>
      <c r="G22" s="22">
        <v>6</v>
      </c>
      <c r="H22" s="21">
        <f>_xlfn.XLOOKUP("000363", Sheet1!$O$4:$O$115, Sheet1!$Q$4:$Q$115,0)</f>
        <v>26</v>
      </c>
      <c r="I22" s="8"/>
      <c r="J22" s="8"/>
      <c r="K22" s="22">
        <f t="shared" si="1"/>
        <v>32</v>
      </c>
      <c r="L22" s="8">
        <v>12</v>
      </c>
      <c r="M22" s="8">
        <v>26</v>
      </c>
      <c r="N22" s="9" t="s">
        <v>297</v>
      </c>
      <c r="O22" s="13" t="s">
        <v>200</v>
      </c>
      <c r="P22" s="13" t="s">
        <v>44</v>
      </c>
      <c r="Q22" s="14">
        <v>6</v>
      </c>
      <c r="R22" s="13"/>
      <c r="S22" s="14"/>
    </row>
    <row r="23" spans="1:19" x14ac:dyDescent="0.25">
      <c r="A23" s="17" t="s">
        <v>242</v>
      </c>
      <c r="B23" s="25" t="s">
        <v>77</v>
      </c>
      <c r="C23" s="24">
        <f t="shared" si="0"/>
        <v>5</v>
      </c>
      <c r="D23" s="27"/>
      <c r="E23" s="8"/>
      <c r="F23" s="22">
        <v>6</v>
      </c>
      <c r="G23" s="22">
        <v>1</v>
      </c>
      <c r="H23" s="21">
        <f>_xlfn.XLOOKUP("000371", Sheet1!$O$4:$O$115, Sheet1!$Q$4:$Q$115,0)</f>
        <v>0</v>
      </c>
      <c r="I23" s="8"/>
      <c r="J23" s="8"/>
      <c r="K23" s="22">
        <f t="shared" si="1"/>
        <v>1</v>
      </c>
      <c r="L23" s="8">
        <v>24</v>
      </c>
      <c r="M23" s="8">
        <v>21</v>
      </c>
      <c r="N23" s="9" t="s">
        <v>297</v>
      </c>
      <c r="O23" s="13" t="s">
        <v>202</v>
      </c>
      <c r="P23" s="13" t="s">
        <v>364</v>
      </c>
      <c r="Q23" s="14">
        <v>9</v>
      </c>
      <c r="R23" s="13"/>
      <c r="S23" s="14"/>
    </row>
    <row r="24" spans="1:19" x14ac:dyDescent="0.25">
      <c r="A24" s="17" t="s">
        <v>249</v>
      </c>
      <c r="B24" s="42" t="s">
        <v>134</v>
      </c>
      <c r="C24" s="24">
        <f t="shared" si="0"/>
        <v>0</v>
      </c>
      <c r="D24" s="27"/>
      <c r="E24" s="8"/>
      <c r="F24" s="22">
        <v>10</v>
      </c>
      <c r="G24" s="22">
        <v>12</v>
      </c>
      <c r="H24" s="21">
        <f>_xlfn.XLOOKUP("000415", Sheet1!$O$4:$O$115, Sheet1!$Q$4:$Q$115,0)</f>
        <v>0</v>
      </c>
      <c r="I24" s="8"/>
      <c r="J24" s="8"/>
      <c r="K24" s="22">
        <f t="shared" si="1"/>
        <v>12</v>
      </c>
      <c r="L24" s="8">
        <v>12</v>
      </c>
      <c r="M24" s="8">
        <v>40</v>
      </c>
      <c r="N24" s="9" t="s">
        <v>297</v>
      </c>
      <c r="O24" s="13" t="s">
        <v>203</v>
      </c>
      <c r="P24" s="13" t="s">
        <v>365</v>
      </c>
      <c r="Q24" s="14">
        <v>18</v>
      </c>
      <c r="R24" s="13"/>
      <c r="S24" s="14"/>
    </row>
    <row r="25" spans="1:19" x14ac:dyDescent="0.25">
      <c r="A25" s="17" t="s">
        <v>250</v>
      </c>
      <c r="B25" s="43" t="s">
        <v>82</v>
      </c>
      <c r="C25" s="24">
        <f t="shared" si="0"/>
        <v>0</v>
      </c>
      <c r="D25" s="27"/>
      <c r="E25" s="8"/>
      <c r="F25" s="22">
        <v>10</v>
      </c>
      <c r="G25" s="22">
        <v>21</v>
      </c>
      <c r="H25" s="21">
        <f>_xlfn.XLOOKUP("000416", Sheet1!$O$4:$O$115, Sheet1!$Q$4:$Q$115,0)</f>
        <v>0</v>
      </c>
      <c r="I25" s="8"/>
      <c r="J25" s="8"/>
      <c r="K25" s="22">
        <f t="shared" si="1"/>
        <v>21</v>
      </c>
      <c r="L25" s="8">
        <v>12</v>
      </c>
      <c r="M25" s="8">
        <v>42</v>
      </c>
      <c r="N25" s="9" t="s">
        <v>297</v>
      </c>
      <c r="O25" s="13" t="s">
        <v>204</v>
      </c>
      <c r="P25" s="13" t="s">
        <v>366</v>
      </c>
      <c r="Q25" s="14">
        <v>9</v>
      </c>
      <c r="R25" s="13"/>
      <c r="S25" s="14"/>
    </row>
    <row r="26" spans="1:19" x14ac:dyDescent="0.25">
      <c r="A26" s="17" t="s">
        <v>253</v>
      </c>
      <c r="B26" s="25" t="s">
        <v>83</v>
      </c>
      <c r="C26" s="24">
        <f t="shared" si="0"/>
        <v>0</v>
      </c>
      <c r="D26" s="27">
        <v>46752</v>
      </c>
      <c r="E26" s="8">
        <f ca="1">IF(OR(DATEDIF(TODAY(),D26,"M")=1,DATEDIF(TODAY(),D26,"M")=0),1,0)</f>
        <v>0</v>
      </c>
      <c r="F26" s="22">
        <v>5</v>
      </c>
      <c r="G26" s="22">
        <v>6</v>
      </c>
      <c r="H26" s="21">
        <f>_xlfn.XLOOKUP("000421", Sheet1!$O$4:$O$115, Sheet1!$Q$4:$Q$115,0)</f>
        <v>12</v>
      </c>
      <c r="I26" s="8"/>
      <c r="J26" s="8"/>
      <c r="K26" s="22">
        <f t="shared" si="1"/>
        <v>18</v>
      </c>
      <c r="L26" s="8">
        <v>24</v>
      </c>
      <c r="M26" s="8">
        <v>12</v>
      </c>
      <c r="N26" s="9" t="s">
        <v>297</v>
      </c>
      <c r="O26" s="13" t="s">
        <v>205</v>
      </c>
      <c r="P26" s="13" t="s">
        <v>367</v>
      </c>
      <c r="Q26" s="14">
        <v>9</v>
      </c>
      <c r="R26" s="13"/>
      <c r="S26" s="14"/>
    </row>
    <row r="27" spans="1:19" x14ac:dyDescent="0.25">
      <c r="A27" s="17" t="s">
        <v>254</v>
      </c>
      <c r="B27" s="25" t="s">
        <v>84</v>
      </c>
      <c r="C27" s="24">
        <f t="shared" si="0"/>
        <v>0</v>
      </c>
      <c r="D27" s="27"/>
      <c r="E27" s="8"/>
      <c r="F27" s="22">
        <v>3</v>
      </c>
      <c r="G27" s="22">
        <v>5</v>
      </c>
      <c r="H27" s="21">
        <f>_xlfn.XLOOKUP("000423", Sheet1!$O$4:$O$115, Sheet1!$Q$4:$Q$115,0)</f>
        <v>2</v>
      </c>
      <c r="I27" s="8"/>
      <c r="J27" s="8"/>
      <c r="K27" s="22">
        <f t="shared" si="1"/>
        <v>7</v>
      </c>
      <c r="L27" s="8">
        <v>72</v>
      </c>
      <c r="M27" s="8">
        <v>20</v>
      </c>
      <c r="N27" s="9" t="s">
        <v>297</v>
      </c>
      <c r="O27" s="13" t="s">
        <v>207</v>
      </c>
      <c r="P27" s="13" t="s">
        <v>368</v>
      </c>
      <c r="Q27" s="14">
        <v>36</v>
      </c>
      <c r="R27" s="13"/>
      <c r="S27" s="14"/>
    </row>
    <row r="28" spans="1:19" x14ac:dyDescent="0.25">
      <c r="A28" s="17" t="s">
        <v>255</v>
      </c>
      <c r="B28" s="25" t="s">
        <v>85</v>
      </c>
      <c r="C28" s="24">
        <f t="shared" si="0"/>
        <v>0</v>
      </c>
      <c r="D28" s="27"/>
      <c r="E28" s="8"/>
      <c r="F28" s="22">
        <v>6</v>
      </c>
      <c r="G28" s="22">
        <v>9</v>
      </c>
      <c r="H28" s="21">
        <f>_xlfn.XLOOKUP("000426", Sheet1!$O$4:$O$115, Sheet1!$Q$4:$Q$115,0)</f>
        <v>0</v>
      </c>
      <c r="I28" s="8"/>
      <c r="J28" s="8"/>
      <c r="K28" s="22">
        <f t="shared" si="1"/>
        <v>9</v>
      </c>
      <c r="L28" s="8">
        <v>36</v>
      </c>
      <c r="M28" s="8">
        <v>35</v>
      </c>
      <c r="N28" s="9" t="s">
        <v>297</v>
      </c>
      <c r="O28" s="13" t="s">
        <v>215</v>
      </c>
      <c r="P28" s="13" t="s">
        <v>369</v>
      </c>
      <c r="Q28" s="14">
        <v>12</v>
      </c>
      <c r="R28" s="13"/>
      <c r="S28" s="14"/>
    </row>
    <row r="29" spans="1:19" x14ac:dyDescent="0.25">
      <c r="A29" s="17" t="s">
        <v>235</v>
      </c>
      <c r="B29" s="43" t="s">
        <v>70</v>
      </c>
      <c r="C29" s="24">
        <f t="shared" si="0"/>
        <v>0</v>
      </c>
      <c r="D29" s="27"/>
      <c r="E29" s="8"/>
      <c r="F29" s="22">
        <v>27</v>
      </c>
      <c r="G29" s="22">
        <v>0</v>
      </c>
      <c r="H29" s="21">
        <f>_xlfn.XLOOKUP("000359", Sheet1!$O$4:$O$115, Sheet1!$Q$4:$Q$115,0)</f>
        <v>48</v>
      </c>
      <c r="I29" s="8"/>
      <c r="J29" s="8"/>
      <c r="K29" s="22">
        <f t="shared" si="1"/>
        <v>48</v>
      </c>
      <c r="L29" s="8">
        <v>6</v>
      </c>
      <c r="M29" s="8">
        <v>12</v>
      </c>
      <c r="N29" s="9" t="s">
        <v>298</v>
      </c>
      <c r="O29" s="13" t="s">
        <v>370</v>
      </c>
      <c r="P29" s="13" t="s">
        <v>371</v>
      </c>
      <c r="Q29" s="14">
        <v>14</v>
      </c>
      <c r="R29" s="13"/>
      <c r="S29" s="14"/>
    </row>
    <row r="30" spans="1:19" x14ac:dyDescent="0.25">
      <c r="A30" s="17" t="s">
        <v>245</v>
      </c>
      <c r="B30" s="42" t="s">
        <v>133</v>
      </c>
      <c r="C30" s="44">
        <f t="shared" si="0"/>
        <v>0</v>
      </c>
      <c r="D30" s="27"/>
      <c r="E30" s="8"/>
      <c r="F30" s="22">
        <v>3</v>
      </c>
      <c r="G30" s="22">
        <v>64</v>
      </c>
      <c r="H30" s="21">
        <f>_xlfn.XLOOKUP("000399", Sheet1!$O$4:$O$115, Sheet1!$Q$4:$Q$115,0)</f>
        <v>0</v>
      </c>
      <c r="I30" s="8"/>
      <c r="J30" s="8">
        <v>31</v>
      </c>
      <c r="K30" s="22">
        <f t="shared" si="1"/>
        <v>33</v>
      </c>
      <c r="L30" s="8">
        <v>12</v>
      </c>
      <c r="M30" s="8">
        <v>9</v>
      </c>
      <c r="N30" s="9" t="s">
        <v>298</v>
      </c>
      <c r="O30" s="13" t="s">
        <v>216</v>
      </c>
      <c r="P30" s="13" t="s">
        <v>127</v>
      </c>
      <c r="Q30" s="14">
        <v>12</v>
      </c>
      <c r="R30" s="13"/>
      <c r="S30" s="14"/>
    </row>
    <row r="31" spans="1:19" x14ac:dyDescent="0.25">
      <c r="A31" s="17" t="s">
        <v>246</v>
      </c>
      <c r="B31" s="25" t="s">
        <v>80</v>
      </c>
      <c r="C31" s="24">
        <f t="shared" si="0"/>
        <v>0</v>
      </c>
      <c r="D31" s="27"/>
      <c r="E31" s="8"/>
      <c r="F31" s="22">
        <v>5</v>
      </c>
      <c r="G31" s="22">
        <v>10</v>
      </c>
      <c r="H31" s="21">
        <f>_xlfn.XLOOKUP("000406", Sheet1!$O$4:$O$115, Sheet1!$Q$4:$Q$115,0)</f>
        <v>0</v>
      </c>
      <c r="I31" s="8"/>
      <c r="J31" s="8"/>
      <c r="K31" s="22">
        <f t="shared" si="1"/>
        <v>10</v>
      </c>
      <c r="L31" s="8">
        <v>6</v>
      </c>
      <c r="M31" s="8">
        <v>28</v>
      </c>
      <c r="N31" s="9" t="s">
        <v>299</v>
      </c>
      <c r="O31" s="13" t="s">
        <v>218</v>
      </c>
      <c r="P31" s="13" t="s">
        <v>59</v>
      </c>
      <c r="Q31" s="14">
        <v>12</v>
      </c>
      <c r="R31" s="13"/>
      <c r="S31" s="14"/>
    </row>
    <row r="32" spans="1:19" x14ac:dyDescent="0.25">
      <c r="A32" s="17" t="s">
        <v>247</v>
      </c>
      <c r="B32" s="25" t="s">
        <v>81</v>
      </c>
      <c r="C32" s="24">
        <f t="shared" si="0"/>
        <v>0</v>
      </c>
      <c r="D32" s="27"/>
      <c r="E32" s="8"/>
      <c r="F32" s="22">
        <v>5</v>
      </c>
      <c r="G32" s="22">
        <v>12</v>
      </c>
      <c r="H32" s="21">
        <f>_xlfn.XLOOKUP("000407", Sheet1!$O$4:$O$115, Sheet1!$Q$4:$Q$115,0)</f>
        <v>0</v>
      </c>
      <c r="I32" s="8"/>
      <c r="J32" s="8"/>
      <c r="K32" s="22">
        <f t="shared" si="1"/>
        <v>12</v>
      </c>
      <c r="L32" s="8">
        <v>6</v>
      </c>
      <c r="M32" s="8">
        <v>24</v>
      </c>
      <c r="N32" s="9" t="s">
        <v>299</v>
      </c>
      <c r="O32" s="13" t="s">
        <v>219</v>
      </c>
      <c r="P32" s="13" t="s">
        <v>60</v>
      </c>
      <c r="Q32" s="14">
        <v>13</v>
      </c>
      <c r="R32" s="13"/>
      <c r="S32" s="14"/>
    </row>
    <row r="33" spans="1:19" x14ac:dyDescent="0.25">
      <c r="A33" s="17" t="s">
        <v>251</v>
      </c>
      <c r="B33" s="26" t="s">
        <v>135</v>
      </c>
      <c r="C33" s="24">
        <f t="shared" si="0"/>
        <v>44</v>
      </c>
      <c r="D33" s="27"/>
      <c r="E33" s="8"/>
      <c r="F33" s="22">
        <v>84</v>
      </c>
      <c r="G33" s="22">
        <v>0</v>
      </c>
      <c r="H33" s="21">
        <f>_xlfn.XLOOKUP("000419", Sheet1!$O$4:$O$115, Sheet1!$Q$4:$Q$115,0)</f>
        <v>40</v>
      </c>
      <c r="I33" s="8"/>
      <c r="J33" s="8"/>
      <c r="K33" s="22">
        <f t="shared" si="1"/>
        <v>40</v>
      </c>
      <c r="L33" s="8">
        <v>12</v>
      </c>
      <c r="M33" s="8">
        <v>8</v>
      </c>
      <c r="N33" s="9" t="s">
        <v>300</v>
      </c>
      <c r="O33" s="13" t="s">
        <v>220</v>
      </c>
      <c r="P33" s="13" t="s">
        <v>61</v>
      </c>
      <c r="Q33" s="14">
        <v>12</v>
      </c>
      <c r="R33" s="13"/>
      <c r="S33" s="14"/>
    </row>
    <row r="34" spans="1:19" x14ac:dyDescent="0.25">
      <c r="A34" s="17" t="s">
        <v>203</v>
      </c>
      <c r="B34" s="25" t="s">
        <v>47</v>
      </c>
      <c r="C34" s="24">
        <f t="shared" si="0"/>
        <v>0</v>
      </c>
      <c r="D34" s="27">
        <v>46569</v>
      </c>
      <c r="E34" s="8">
        <f t="shared" ref="E34:E39" ca="1" si="2">IF(OR(DATEDIF(TODAY(),D34,"M")=1,DATEDIF(TODAY(),D34,"M")=0),1,0)</f>
        <v>0</v>
      </c>
      <c r="F34" s="22">
        <v>9</v>
      </c>
      <c r="G34" s="22">
        <v>15</v>
      </c>
      <c r="H34" s="21">
        <f>_xlfn.XLOOKUP("000206", Sheet1!$O$4:$O$115, Sheet1!$Q$4:$Q$115,0)</f>
        <v>18</v>
      </c>
      <c r="I34" s="8"/>
      <c r="J34" s="8"/>
      <c r="K34" s="22">
        <f t="shared" si="1"/>
        <v>33</v>
      </c>
      <c r="L34" s="8">
        <v>8</v>
      </c>
      <c r="M34" s="8">
        <v>9</v>
      </c>
      <c r="N34" s="9" t="s">
        <v>301</v>
      </c>
      <c r="O34" s="13" t="s">
        <v>221</v>
      </c>
      <c r="P34" s="13" t="s">
        <v>128</v>
      </c>
      <c r="Q34" s="14">
        <v>20</v>
      </c>
      <c r="R34" s="13"/>
      <c r="S34" s="14"/>
    </row>
    <row r="35" spans="1:19" x14ac:dyDescent="0.25">
      <c r="A35" s="17" t="s">
        <v>215</v>
      </c>
      <c r="B35" s="25" t="s">
        <v>57</v>
      </c>
      <c r="C35" s="24">
        <f t="shared" si="0"/>
        <v>0</v>
      </c>
      <c r="D35" s="27">
        <v>47001</v>
      </c>
      <c r="E35" s="8">
        <f t="shared" ca="1" si="2"/>
        <v>0</v>
      </c>
      <c r="F35" s="22">
        <v>5</v>
      </c>
      <c r="G35" s="22">
        <v>0</v>
      </c>
      <c r="H35" s="21">
        <f>_xlfn.XLOOKUP("000234", Sheet1!$O$4:$O$115, Sheet1!$Q$4:$Q$115,0)</f>
        <v>12</v>
      </c>
      <c r="I35" s="8"/>
      <c r="J35" s="8"/>
      <c r="K35" s="22">
        <f t="shared" si="1"/>
        <v>12</v>
      </c>
      <c r="L35" s="8">
        <v>24</v>
      </c>
      <c r="M35" s="8">
        <v>12</v>
      </c>
      <c r="N35" s="9" t="s">
        <v>301</v>
      </c>
      <c r="O35" s="13" t="s">
        <v>222</v>
      </c>
      <c r="P35" s="13" t="s">
        <v>62</v>
      </c>
      <c r="Q35" s="14">
        <v>10</v>
      </c>
      <c r="R35" s="13"/>
      <c r="S35" s="14"/>
    </row>
    <row r="36" spans="1:19" x14ac:dyDescent="0.25">
      <c r="A36" s="17" t="s">
        <v>210</v>
      </c>
      <c r="B36" s="43" t="s">
        <v>54</v>
      </c>
      <c r="C36" s="44">
        <f t="shared" ref="C36:C67" si="3">IF(AND($C$2*F36&gt;K36,G36+H36+I36+J36&lt;&gt;0),$C$2*F36-K36,0)</f>
        <v>0</v>
      </c>
      <c r="D36" s="27">
        <v>47139</v>
      </c>
      <c r="E36" s="8">
        <f t="shared" ca="1" si="2"/>
        <v>0</v>
      </c>
      <c r="F36" s="22">
        <v>5</v>
      </c>
      <c r="G36" s="22">
        <v>81</v>
      </c>
      <c r="H36" s="21">
        <f>_xlfn.XLOOKUP("000222", Sheet1!$O$4:$O$115, Sheet1!$Q$4:$Q$115,0)</f>
        <v>0</v>
      </c>
      <c r="I36" s="8"/>
      <c r="J36" s="8">
        <v>43</v>
      </c>
      <c r="K36" s="22">
        <f t="shared" ref="K36:K67" si="4">G36+H36-(I36+J36)</f>
        <v>38</v>
      </c>
      <c r="L36" s="8">
        <v>48</v>
      </c>
      <c r="M36" s="8">
        <v>10</v>
      </c>
      <c r="N36" s="9" t="s">
        <v>302</v>
      </c>
      <c r="O36" s="13" t="s">
        <v>223</v>
      </c>
      <c r="P36" s="13" t="s">
        <v>63</v>
      </c>
      <c r="Q36" s="14">
        <v>20</v>
      </c>
      <c r="R36" s="13"/>
      <c r="S36" s="14"/>
    </row>
    <row r="37" spans="1:19" x14ac:dyDescent="0.25">
      <c r="A37" s="17" t="s">
        <v>212</v>
      </c>
      <c r="B37" s="25" t="s">
        <v>56</v>
      </c>
      <c r="C37" s="24">
        <f t="shared" si="3"/>
        <v>0</v>
      </c>
      <c r="D37" s="27">
        <v>46935</v>
      </c>
      <c r="E37" s="8">
        <f t="shared" ca="1" si="2"/>
        <v>0</v>
      </c>
      <c r="F37" s="22">
        <v>7</v>
      </c>
      <c r="G37" s="22">
        <v>17</v>
      </c>
      <c r="H37" s="21">
        <f>_xlfn.XLOOKUP("000226", Sheet1!$O$4:$O$115, Sheet1!$Q$4:$Q$115,0)</f>
        <v>0</v>
      </c>
      <c r="I37" s="8"/>
      <c r="J37" s="8"/>
      <c r="K37" s="22">
        <f t="shared" si="4"/>
        <v>17</v>
      </c>
      <c r="L37" s="8">
        <v>24</v>
      </c>
      <c r="M37" s="8">
        <v>7</v>
      </c>
      <c r="N37" s="9" t="s">
        <v>302</v>
      </c>
      <c r="O37" s="13" t="s">
        <v>224</v>
      </c>
      <c r="P37" s="13" t="s">
        <v>64</v>
      </c>
      <c r="Q37" s="14">
        <v>10</v>
      </c>
    </row>
    <row r="38" spans="1:19" x14ac:dyDescent="0.25">
      <c r="A38" s="17" t="s">
        <v>195</v>
      </c>
      <c r="B38" s="25" t="s">
        <v>40</v>
      </c>
      <c r="C38" s="24">
        <f t="shared" si="3"/>
        <v>0</v>
      </c>
      <c r="D38" s="27">
        <v>47307</v>
      </c>
      <c r="E38" s="8">
        <f t="shared" ca="1" si="2"/>
        <v>0</v>
      </c>
      <c r="F38" s="22">
        <v>10</v>
      </c>
      <c r="G38" s="22">
        <v>0</v>
      </c>
      <c r="H38" s="21">
        <f>_xlfn.XLOOKUP("000167", Sheet1!$O$4:$O$115, Sheet1!$Q$4:$Q$115,0)</f>
        <v>0</v>
      </c>
      <c r="I38" s="8"/>
      <c r="J38" s="8"/>
      <c r="K38" s="22">
        <f t="shared" si="4"/>
        <v>0</v>
      </c>
      <c r="L38" s="8">
        <v>10</v>
      </c>
      <c r="M38" s="8">
        <v>10</v>
      </c>
      <c r="N38" s="9" t="s">
        <v>304</v>
      </c>
      <c r="O38" s="13" t="s">
        <v>225</v>
      </c>
      <c r="P38" s="13" t="s">
        <v>129</v>
      </c>
      <c r="Q38" s="14">
        <v>10</v>
      </c>
    </row>
    <row r="39" spans="1:19" x14ac:dyDescent="0.25">
      <c r="A39" s="17" t="s">
        <v>206</v>
      </c>
      <c r="B39" s="43" t="s">
        <v>50</v>
      </c>
      <c r="C39" s="24">
        <f t="shared" si="3"/>
        <v>0</v>
      </c>
      <c r="D39" s="27">
        <v>46664</v>
      </c>
      <c r="E39" s="8">
        <f t="shared" ca="1" si="2"/>
        <v>0</v>
      </c>
      <c r="F39" s="22">
        <v>9</v>
      </c>
      <c r="G39" s="22">
        <v>0</v>
      </c>
      <c r="H39" s="21">
        <f>_xlfn.XLOOKUP("000211", Sheet1!$O$4:$O$115, Sheet1!$Q$4:$Q$115,0)</f>
        <v>0</v>
      </c>
      <c r="I39" s="8"/>
      <c r="J39" s="8"/>
      <c r="K39" s="22">
        <f t="shared" si="4"/>
        <v>0</v>
      </c>
      <c r="L39" s="8">
        <v>4</v>
      </c>
      <c r="M39" s="8">
        <v>9</v>
      </c>
      <c r="N39" s="9" t="s">
        <v>304</v>
      </c>
      <c r="O39" s="13" t="s">
        <v>227</v>
      </c>
      <c r="P39" s="13" t="s">
        <v>130</v>
      </c>
      <c r="Q39" s="14">
        <v>30</v>
      </c>
    </row>
    <row r="40" spans="1:19" x14ac:dyDescent="0.25">
      <c r="A40" s="17" t="s">
        <v>207</v>
      </c>
      <c r="B40" s="25" t="s">
        <v>51</v>
      </c>
      <c r="C40" s="24">
        <f t="shared" si="3"/>
        <v>0</v>
      </c>
      <c r="D40" s="27"/>
      <c r="E40" s="8"/>
      <c r="F40" s="22">
        <v>9</v>
      </c>
      <c r="G40" s="22">
        <v>36</v>
      </c>
      <c r="H40" s="21">
        <f>_xlfn.XLOOKUP("000212", Sheet1!$O$4:$O$115, Sheet1!$Q$4:$Q$115,0)</f>
        <v>36</v>
      </c>
      <c r="I40" s="8"/>
      <c r="J40" s="8"/>
      <c r="K40" s="22">
        <f t="shared" si="4"/>
        <v>72</v>
      </c>
      <c r="L40" s="8">
        <v>4</v>
      </c>
      <c r="M40" s="8">
        <v>10</v>
      </c>
      <c r="N40" s="9" t="s">
        <v>304</v>
      </c>
      <c r="O40" s="13" t="s">
        <v>229</v>
      </c>
      <c r="P40" s="13" t="s">
        <v>131</v>
      </c>
      <c r="Q40" s="14">
        <v>10</v>
      </c>
    </row>
    <row r="41" spans="1:19" x14ac:dyDescent="0.25">
      <c r="A41" s="17" t="s">
        <v>194</v>
      </c>
      <c r="B41" s="25" t="s">
        <v>39</v>
      </c>
      <c r="C41" s="24">
        <f t="shared" si="3"/>
        <v>0</v>
      </c>
      <c r="D41" s="27"/>
      <c r="E41" s="8"/>
      <c r="F41" s="22">
        <v>5</v>
      </c>
      <c r="G41" s="22">
        <v>15</v>
      </c>
      <c r="H41" s="21">
        <f>_xlfn.XLOOKUP("000162", Sheet1!$O$4:$O$115, Sheet1!$Q$4:$Q$115,0)</f>
        <v>12</v>
      </c>
      <c r="I41" s="8"/>
      <c r="J41" s="8"/>
      <c r="K41" s="22">
        <f t="shared" si="4"/>
        <v>27</v>
      </c>
      <c r="L41" s="8">
        <v>12</v>
      </c>
      <c r="M41" s="8">
        <v>12</v>
      </c>
      <c r="N41" s="9" t="s">
        <v>303</v>
      </c>
      <c r="O41" s="13" t="s">
        <v>232</v>
      </c>
      <c r="P41" s="13" t="s">
        <v>372</v>
      </c>
      <c r="Q41" s="14">
        <v>8</v>
      </c>
    </row>
    <row r="42" spans="1:19" x14ac:dyDescent="0.25">
      <c r="A42" s="17" t="s">
        <v>196</v>
      </c>
      <c r="B42" s="43" t="s">
        <v>41</v>
      </c>
      <c r="C42" s="24">
        <f t="shared" si="3"/>
        <v>0</v>
      </c>
      <c r="D42" s="27"/>
      <c r="E42" s="8"/>
      <c r="F42" s="22">
        <v>3</v>
      </c>
      <c r="G42" s="22">
        <v>7</v>
      </c>
      <c r="H42" s="21">
        <f>_xlfn.XLOOKUP("000168", Sheet1!$O$4:$O$115, Sheet1!$Q$4:$Q$115,0)</f>
        <v>0</v>
      </c>
      <c r="I42" s="8"/>
      <c r="J42" s="8"/>
      <c r="K42" s="22">
        <f t="shared" si="4"/>
        <v>7</v>
      </c>
      <c r="L42" s="8">
        <v>12</v>
      </c>
      <c r="M42" s="8">
        <v>12</v>
      </c>
      <c r="N42" s="9" t="s">
        <v>303</v>
      </c>
      <c r="O42" s="13" t="s">
        <v>235</v>
      </c>
      <c r="P42" s="13" t="s">
        <v>70</v>
      </c>
      <c r="Q42" s="14">
        <v>48</v>
      </c>
    </row>
    <row r="43" spans="1:19" x14ac:dyDescent="0.25">
      <c r="A43" s="17" t="s">
        <v>209</v>
      </c>
      <c r="B43" s="25" t="s">
        <v>53</v>
      </c>
      <c r="C43" s="24">
        <f t="shared" si="3"/>
        <v>0</v>
      </c>
      <c r="D43" s="27">
        <v>47091</v>
      </c>
      <c r="E43" s="8">
        <f t="shared" ref="E43:E50" ca="1" si="5">IF(OR(DATEDIF(TODAY(),D43,"M")=1,DATEDIF(TODAY(),D43,"M")=0),1,0)</f>
        <v>0</v>
      </c>
      <c r="F43" s="22">
        <v>5</v>
      </c>
      <c r="G43" s="22">
        <v>14</v>
      </c>
      <c r="H43" s="21">
        <f>_xlfn.XLOOKUP("000219", Sheet1!$O$4:$O$115, Sheet1!$Q$4:$Q$115,0)</f>
        <v>0</v>
      </c>
      <c r="I43" s="8"/>
      <c r="J43" s="8"/>
      <c r="K43" s="22">
        <f t="shared" si="4"/>
        <v>14</v>
      </c>
      <c r="L43" s="8">
        <v>20</v>
      </c>
      <c r="M43" s="8">
        <v>14</v>
      </c>
      <c r="N43" s="9" t="s">
        <v>303</v>
      </c>
      <c r="O43" s="13" t="s">
        <v>237</v>
      </c>
      <c r="P43" s="13" t="s">
        <v>373</v>
      </c>
      <c r="Q43" s="14">
        <v>26</v>
      </c>
    </row>
    <row r="44" spans="1:19" x14ac:dyDescent="0.25">
      <c r="A44" s="17" t="s">
        <v>175</v>
      </c>
      <c r="B44" s="43" t="s">
        <v>24</v>
      </c>
      <c r="C44" s="24">
        <f t="shared" si="3"/>
        <v>0</v>
      </c>
      <c r="D44" s="27">
        <v>46478</v>
      </c>
      <c r="E44" s="8">
        <f t="shared" ca="1" si="5"/>
        <v>0</v>
      </c>
      <c r="F44" s="22">
        <v>10</v>
      </c>
      <c r="G44" s="22">
        <v>0</v>
      </c>
      <c r="H44" s="21">
        <f>_xlfn.XLOOKUP("000093", Sheet1!$O$4:$O$115, Sheet1!$Q$4:$Q$115,0)</f>
        <v>0</v>
      </c>
      <c r="I44" s="8"/>
      <c r="J44" s="8"/>
      <c r="K44" s="22">
        <f t="shared" si="4"/>
        <v>0</v>
      </c>
      <c r="L44" s="8">
        <v>12</v>
      </c>
      <c r="M44" s="8">
        <v>14</v>
      </c>
      <c r="N44" s="9" t="s">
        <v>306</v>
      </c>
      <c r="O44" s="13" t="s">
        <v>240</v>
      </c>
      <c r="P44" s="13" t="s">
        <v>75</v>
      </c>
      <c r="Q44" s="14">
        <v>6</v>
      </c>
    </row>
    <row r="45" spans="1:19" x14ac:dyDescent="0.25">
      <c r="A45" s="17" t="s">
        <v>186</v>
      </c>
      <c r="B45" s="25" t="s">
        <v>32</v>
      </c>
      <c r="C45" s="24">
        <f t="shared" si="3"/>
        <v>0</v>
      </c>
      <c r="D45" s="27">
        <v>46661</v>
      </c>
      <c r="E45" s="8">
        <f t="shared" ca="1" si="5"/>
        <v>0</v>
      </c>
      <c r="F45" s="22">
        <v>10</v>
      </c>
      <c r="G45" s="22">
        <v>0</v>
      </c>
      <c r="H45" s="21">
        <f>_xlfn.XLOOKUP("000139", Sheet1!$O$4:$O$115, Sheet1!$Q$4:$Q$115,0)</f>
        <v>0</v>
      </c>
      <c r="I45" s="8"/>
      <c r="J45" s="8"/>
      <c r="K45" s="22">
        <f t="shared" si="4"/>
        <v>0</v>
      </c>
      <c r="L45" s="8">
        <v>12</v>
      </c>
      <c r="M45" s="8">
        <v>18</v>
      </c>
      <c r="N45" s="9" t="s">
        <v>306</v>
      </c>
      <c r="O45" s="13" t="s">
        <v>243</v>
      </c>
      <c r="P45" s="13" t="s">
        <v>78</v>
      </c>
      <c r="Q45" s="14">
        <v>6</v>
      </c>
    </row>
    <row r="46" spans="1:19" x14ac:dyDescent="0.25">
      <c r="A46" s="17" t="s">
        <v>172</v>
      </c>
      <c r="B46" s="25" t="s">
        <v>22</v>
      </c>
      <c r="C46" s="24">
        <f t="shared" si="3"/>
        <v>0</v>
      </c>
      <c r="D46" s="27">
        <v>46507</v>
      </c>
      <c r="E46" s="8">
        <f t="shared" ca="1" si="5"/>
        <v>0</v>
      </c>
      <c r="F46" s="22">
        <v>10</v>
      </c>
      <c r="G46" s="22">
        <v>0</v>
      </c>
      <c r="H46" s="21">
        <f>_xlfn.XLOOKUP("000086", Sheet1!$O$4:$O$115, Sheet1!$Q$4:$Q$115,0)</f>
        <v>0</v>
      </c>
      <c r="I46" s="8"/>
      <c r="J46" s="8"/>
      <c r="K46" s="22">
        <f t="shared" si="4"/>
        <v>0</v>
      </c>
      <c r="L46" s="8">
        <v>12</v>
      </c>
      <c r="M46" s="8">
        <v>20</v>
      </c>
      <c r="N46" s="9" t="s">
        <v>305</v>
      </c>
      <c r="O46" s="13" t="s">
        <v>251</v>
      </c>
      <c r="P46" s="13" t="s">
        <v>135</v>
      </c>
      <c r="Q46" s="14">
        <v>40</v>
      </c>
    </row>
    <row r="47" spans="1:19" x14ac:dyDescent="0.25">
      <c r="A47" s="17" t="s">
        <v>173</v>
      </c>
      <c r="B47" s="25" t="s">
        <v>23</v>
      </c>
      <c r="C47" s="24">
        <f t="shared" si="3"/>
        <v>0</v>
      </c>
      <c r="D47" s="27">
        <v>46508</v>
      </c>
      <c r="E47" s="8">
        <f t="shared" ca="1" si="5"/>
        <v>0</v>
      </c>
      <c r="F47" s="22">
        <v>10</v>
      </c>
      <c r="G47" s="22">
        <v>0</v>
      </c>
      <c r="H47" s="21">
        <f>_xlfn.XLOOKUP("000089", Sheet1!$O$4:$O$115, Sheet1!$Q$4:$Q$115,0)</f>
        <v>0</v>
      </c>
      <c r="I47" s="8"/>
      <c r="J47" s="8"/>
      <c r="K47" s="22">
        <f t="shared" si="4"/>
        <v>0</v>
      </c>
      <c r="L47" s="8">
        <v>12</v>
      </c>
      <c r="M47" s="8">
        <v>20</v>
      </c>
      <c r="N47" s="9" t="s">
        <v>305</v>
      </c>
      <c r="O47" s="13" t="s">
        <v>253</v>
      </c>
      <c r="P47" s="13" t="s">
        <v>83</v>
      </c>
      <c r="Q47" s="14">
        <v>12</v>
      </c>
    </row>
    <row r="48" spans="1:19" x14ac:dyDescent="0.25">
      <c r="A48" s="17" t="s">
        <v>179</v>
      </c>
      <c r="B48" s="25" t="s">
        <v>27</v>
      </c>
      <c r="C48" s="24">
        <f t="shared" si="3"/>
        <v>0</v>
      </c>
      <c r="D48" s="27">
        <v>46327</v>
      </c>
      <c r="E48" s="8">
        <f t="shared" ca="1" si="5"/>
        <v>0</v>
      </c>
      <c r="F48" s="22">
        <v>5</v>
      </c>
      <c r="G48" s="22">
        <v>0</v>
      </c>
      <c r="H48" s="21">
        <f>_xlfn.XLOOKUP("000102", Sheet1!$O$4:$O$115, Sheet1!$Q$4:$Q$115,0)</f>
        <v>15</v>
      </c>
      <c r="I48" s="8"/>
      <c r="J48" s="8"/>
      <c r="K48" s="22">
        <f t="shared" si="4"/>
        <v>15</v>
      </c>
      <c r="L48" s="8">
        <v>24</v>
      </c>
      <c r="M48" s="8">
        <v>15</v>
      </c>
      <c r="N48" s="9" t="s">
        <v>305</v>
      </c>
      <c r="O48" s="13" t="s">
        <v>254</v>
      </c>
      <c r="P48" s="13" t="s">
        <v>374</v>
      </c>
      <c r="Q48" s="14">
        <v>2</v>
      </c>
    </row>
    <row r="49" spans="1:17" x14ac:dyDescent="0.25">
      <c r="A49" s="17" t="s">
        <v>176</v>
      </c>
      <c r="B49" s="25" t="s">
        <v>25</v>
      </c>
      <c r="C49" s="24">
        <f t="shared" si="3"/>
        <v>0</v>
      </c>
      <c r="D49" s="27">
        <v>46539</v>
      </c>
      <c r="E49" s="8">
        <f t="shared" ca="1" si="5"/>
        <v>0</v>
      </c>
      <c r="F49" s="22">
        <v>10</v>
      </c>
      <c r="G49" s="22">
        <v>0</v>
      </c>
      <c r="H49" s="21">
        <f>_xlfn.XLOOKUP("000094", Sheet1!$O$4:$O$115, Sheet1!$Q$4:$Q$115,0)</f>
        <v>0</v>
      </c>
      <c r="I49" s="8"/>
      <c r="J49" s="8"/>
      <c r="K49" s="22">
        <f t="shared" si="4"/>
        <v>0</v>
      </c>
      <c r="L49" s="8">
        <v>12</v>
      </c>
      <c r="M49" s="8">
        <v>20</v>
      </c>
      <c r="N49" s="9" t="s">
        <v>307</v>
      </c>
      <c r="O49" s="19">
        <v>0</v>
      </c>
      <c r="P49" t="s">
        <v>144</v>
      </c>
      <c r="Q49" s="14"/>
    </row>
    <row r="50" spans="1:17" x14ac:dyDescent="0.25">
      <c r="A50" s="17" t="s">
        <v>193</v>
      </c>
      <c r="B50" s="25" t="s">
        <v>38</v>
      </c>
      <c r="C50" s="44">
        <f t="shared" si="3"/>
        <v>0</v>
      </c>
      <c r="D50" s="27">
        <v>46475</v>
      </c>
      <c r="E50" s="8">
        <f t="shared" ca="1" si="5"/>
        <v>0</v>
      </c>
      <c r="F50" s="22">
        <v>27</v>
      </c>
      <c r="G50" s="22">
        <v>54</v>
      </c>
      <c r="H50" s="21">
        <f>_xlfn.XLOOKUP("000159", Sheet1!$O$4:$O$115, Sheet1!$Q$4:$Q$115,0)</f>
        <v>0</v>
      </c>
      <c r="I50" s="8"/>
      <c r="J50" s="8"/>
      <c r="K50" s="22">
        <f t="shared" si="4"/>
        <v>54</v>
      </c>
      <c r="L50" s="8">
        <v>12</v>
      </c>
      <c r="M50" s="8">
        <v>18</v>
      </c>
      <c r="N50" s="9" t="s">
        <v>307</v>
      </c>
      <c r="O50" s="19">
        <v>0</v>
      </c>
      <c r="P50" t="s">
        <v>144</v>
      </c>
      <c r="Q50" s="14"/>
    </row>
    <row r="51" spans="1:17" x14ac:dyDescent="0.25">
      <c r="A51" s="17" t="s">
        <v>177</v>
      </c>
      <c r="B51" s="25" t="s">
        <v>26</v>
      </c>
      <c r="C51" s="24">
        <f t="shared" si="3"/>
        <v>0</v>
      </c>
      <c r="D51" s="27"/>
      <c r="E51" s="8"/>
      <c r="F51" s="22">
        <v>10</v>
      </c>
      <c r="G51" s="22">
        <v>0</v>
      </c>
      <c r="H51" s="21">
        <f>_xlfn.XLOOKUP("000098", Sheet1!$O$4:$O$115, Sheet1!$Q$4:$Q$115,0)</f>
        <v>0</v>
      </c>
      <c r="I51" s="8"/>
      <c r="J51" s="8"/>
      <c r="K51" s="22">
        <f t="shared" si="4"/>
        <v>0</v>
      </c>
      <c r="L51" s="8">
        <v>12</v>
      </c>
      <c r="M51" s="8">
        <v>24</v>
      </c>
      <c r="N51" s="9" t="s">
        <v>308</v>
      </c>
      <c r="O51" s="19">
        <v>0</v>
      </c>
      <c r="P51" t="s">
        <v>144</v>
      </c>
      <c r="Q51" s="14"/>
    </row>
    <row r="52" spans="1:17" ht="18.75" x14ac:dyDescent="0.3">
      <c r="A52" s="17" t="s">
        <v>190</v>
      </c>
      <c r="B52" s="25" t="s">
        <v>35</v>
      </c>
      <c r="C52" s="24">
        <f t="shared" si="3"/>
        <v>0</v>
      </c>
      <c r="D52" s="27">
        <v>46251</v>
      </c>
      <c r="E52" s="8">
        <f t="shared" ref="E52:E60" ca="1" si="6">IF(OR(DATEDIF(TODAY(),D52,"M")=1,DATEDIF(TODAY(),D52,"M")=0),1,0)</f>
        <v>1</v>
      </c>
      <c r="F52" s="22">
        <v>10</v>
      </c>
      <c r="G52" s="22">
        <v>4</v>
      </c>
      <c r="H52" s="21">
        <f>_xlfn.XLOOKUP("000151", Sheet1!$O$4:$O$115, Sheet1!$Q$4:$Q$115,0)</f>
        <v>10</v>
      </c>
      <c r="I52" s="55">
        <v>2</v>
      </c>
      <c r="J52" s="8"/>
      <c r="K52" s="22">
        <f t="shared" si="4"/>
        <v>12</v>
      </c>
      <c r="L52" s="8">
        <v>12</v>
      </c>
      <c r="M52" s="8">
        <v>15</v>
      </c>
      <c r="N52" s="9" t="s">
        <v>308</v>
      </c>
      <c r="O52" s="19">
        <v>0</v>
      </c>
      <c r="P52" t="s">
        <v>144</v>
      </c>
      <c r="Q52" s="20"/>
    </row>
    <row r="53" spans="1:17" x14ac:dyDescent="0.25">
      <c r="A53" s="17" t="s">
        <v>191</v>
      </c>
      <c r="B53" s="43" t="s">
        <v>36</v>
      </c>
      <c r="C53" s="24">
        <f t="shared" si="3"/>
        <v>3</v>
      </c>
      <c r="D53" s="27">
        <v>46255</v>
      </c>
      <c r="E53" s="8">
        <f t="shared" ca="1" si="6"/>
        <v>1</v>
      </c>
      <c r="F53" s="22">
        <v>27</v>
      </c>
      <c r="G53" s="22">
        <v>24</v>
      </c>
      <c r="H53" s="21">
        <f>_xlfn.XLOOKUP("000152", Sheet1!$O$4:$O$115, Sheet1!$Q$4:$Q$115,0)</f>
        <v>0</v>
      </c>
      <c r="I53" s="8"/>
      <c r="J53" s="8"/>
      <c r="K53" s="22">
        <f t="shared" si="4"/>
        <v>24</v>
      </c>
      <c r="L53" s="8">
        <v>6</v>
      </c>
      <c r="M53" s="8">
        <v>42</v>
      </c>
      <c r="N53" s="9" t="s">
        <v>308</v>
      </c>
      <c r="O53" s="19">
        <v>0</v>
      </c>
      <c r="P53" t="s">
        <v>144</v>
      </c>
      <c r="Q53" s="20"/>
    </row>
    <row r="54" spans="1:17" x14ac:dyDescent="0.25">
      <c r="A54" s="17" t="s">
        <v>201</v>
      </c>
      <c r="B54" s="43" t="s">
        <v>45</v>
      </c>
      <c r="C54" s="24">
        <f t="shared" si="3"/>
        <v>0</v>
      </c>
      <c r="D54" s="27">
        <v>46594</v>
      </c>
      <c r="E54" s="8">
        <f t="shared" ca="1" si="6"/>
        <v>0</v>
      </c>
      <c r="F54" s="22">
        <v>2</v>
      </c>
      <c r="G54" s="22">
        <v>0</v>
      </c>
      <c r="H54" s="21">
        <f>_xlfn.XLOOKUP("000187", Sheet1!$O$4:$O$115, Sheet1!$Q$4:$Q$115,0)</f>
        <v>0</v>
      </c>
      <c r="I54" s="8"/>
      <c r="J54" s="8"/>
      <c r="K54" s="22">
        <f t="shared" si="4"/>
        <v>0</v>
      </c>
      <c r="L54" s="8">
        <v>24</v>
      </c>
      <c r="M54" s="8">
        <v>13</v>
      </c>
      <c r="N54" s="9" t="s">
        <v>310</v>
      </c>
      <c r="O54" s="19">
        <v>0</v>
      </c>
      <c r="P54" t="s">
        <v>144</v>
      </c>
      <c r="Q54" s="20"/>
    </row>
    <row r="55" spans="1:17" x14ac:dyDescent="0.25">
      <c r="A55" s="17" t="s">
        <v>202</v>
      </c>
      <c r="B55" s="43" t="s">
        <v>46</v>
      </c>
      <c r="C55" s="24">
        <f t="shared" si="3"/>
        <v>0</v>
      </c>
      <c r="D55" s="27">
        <v>46486</v>
      </c>
      <c r="E55" s="8">
        <f t="shared" ca="1" si="6"/>
        <v>0</v>
      </c>
      <c r="F55" s="22">
        <v>3</v>
      </c>
      <c r="G55" s="22">
        <v>4</v>
      </c>
      <c r="H55" s="21">
        <f>_xlfn.XLOOKUP("000189", Sheet1!$O$4:$O$115, Sheet1!$Q$4:$Q$115,0)</f>
        <v>9</v>
      </c>
      <c r="I55" s="8"/>
      <c r="J55" s="8"/>
      <c r="K55" s="22">
        <f t="shared" si="4"/>
        <v>13</v>
      </c>
      <c r="L55" s="8">
        <v>12</v>
      </c>
      <c r="M55" s="8">
        <v>9</v>
      </c>
      <c r="N55" s="9" t="s">
        <v>310</v>
      </c>
      <c r="O55" s="19">
        <v>0</v>
      </c>
      <c r="P55" t="s">
        <v>144</v>
      </c>
      <c r="Q55" s="20"/>
    </row>
    <row r="56" spans="1:17" x14ac:dyDescent="0.25">
      <c r="A56" s="17" t="s">
        <v>213</v>
      </c>
      <c r="B56" s="42" t="s">
        <v>125</v>
      </c>
      <c r="C56" s="24">
        <f t="shared" si="3"/>
        <v>0</v>
      </c>
      <c r="D56" s="27">
        <v>46628</v>
      </c>
      <c r="E56" s="8">
        <f t="shared" ca="1" si="6"/>
        <v>0</v>
      </c>
      <c r="F56" s="22">
        <v>26</v>
      </c>
      <c r="G56" s="22">
        <v>49</v>
      </c>
      <c r="H56" s="21">
        <f>_xlfn.XLOOKUP("000228", Sheet1!$O$4:$O$115, Sheet1!$Q$4:$Q$115,0)</f>
        <v>0</v>
      </c>
      <c r="I56" s="8"/>
      <c r="J56" s="8"/>
      <c r="K56" s="22">
        <f t="shared" si="4"/>
        <v>49</v>
      </c>
      <c r="L56" s="8">
        <v>12</v>
      </c>
      <c r="M56" s="8">
        <v>13</v>
      </c>
      <c r="N56" s="9" t="s">
        <v>310</v>
      </c>
      <c r="O56" s="19">
        <v>0</v>
      </c>
      <c r="P56" t="s">
        <v>144</v>
      </c>
      <c r="Q56" s="20"/>
    </row>
    <row r="57" spans="1:17" x14ac:dyDescent="0.25">
      <c r="A57" s="17" t="s">
        <v>161</v>
      </c>
      <c r="B57" s="42" t="s">
        <v>116</v>
      </c>
      <c r="C57" s="24">
        <f t="shared" si="3"/>
        <v>0</v>
      </c>
      <c r="D57" s="27">
        <v>46295</v>
      </c>
      <c r="E57" s="8">
        <f t="shared" ca="1" si="6"/>
        <v>0</v>
      </c>
      <c r="F57" s="22">
        <v>5</v>
      </c>
      <c r="G57" s="22">
        <v>18</v>
      </c>
      <c r="H57" s="21">
        <f>_xlfn.XLOOKUP("000035", Sheet1!$O$4:$O$115, Sheet1!$Q$4:$Q$115,0)</f>
        <v>12</v>
      </c>
      <c r="I57" s="8"/>
      <c r="J57" s="8"/>
      <c r="K57" s="22">
        <f t="shared" si="4"/>
        <v>30</v>
      </c>
      <c r="L57" s="8">
        <v>12</v>
      </c>
      <c r="M57" s="8">
        <v>12</v>
      </c>
      <c r="N57" s="9" t="s">
        <v>309</v>
      </c>
      <c r="O57" s="19">
        <v>0</v>
      </c>
      <c r="P57" t="s">
        <v>144</v>
      </c>
      <c r="Q57" s="20"/>
    </row>
    <row r="58" spans="1:17" x14ac:dyDescent="0.25">
      <c r="A58" s="17" t="s">
        <v>178</v>
      </c>
      <c r="B58" s="42" t="s">
        <v>120</v>
      </c>
      <c r="C58" s="24">
        <f t="shared" si="3"/>
        <v>0</v>
      </c>
      <c r="D58" s="27">
        <v>46392</v>
      </c>
      <c r="E58" s="8">
        <f t="shared" ca="1" si="6"/>
        <v>0</v>
      </c>
      <c r="F58" s="22">
        <v>4</v>
      </c>
      <c r="G58" s="22">
        <v>20</v>
      </c>
      <c r="H58" s="21">
        <f>_xlfn.XLOOKUP("000100", Sheet1!$O$4:$O$115, Sheet1!$Q$4:$Q$115,0)</f>
        <v>9</v>
      </c>
      <c r="I58" s="8"/>
      <c r="J58" s="8"/>
      <c r="K58" s="22">
        <f t="shared" si="4"/>
        <v>29</v>
      </c>
      <c r="L58" s="8">
        <v>24</v>
      </c>
      <c r="M58" s="8">
        <v>9</v>
      </c>
      <c r="N58" s="9" t="s">
        <v>309</v>
      </c>
      <c r="O58" s="19">
        <v>0</v>
      </c>
      <c r="P58" t="s">
        <v>144</v>
      </c>
      <c r="Q58" s="20"/>
    </row>
    <row r="59" spans="1:17" x14ac:dyDescent="0.25">
      <c r="A59" s="17" t="s">
        <v>183</v>
      </c>
      <c r="B59" s="25" t="s">
        <v>30</v>
      </c>
      <c r="C59" s="24">
        <f t="shared" si="3"/>
        <v>0</v>
      </c>
      <c r="D59" s="27">
        <v>46600</v>
      </c>
      <c r="E59" s="8">
        <f t="shared" ca="1" si="6"/>
        <v>0</v>
      </c>
      <c r="F59" s="22">
        <v>2</v>
      </c>
      <c r="G59" s="22">
        <v>4</v>
      </c>
      <c r="H59" s="21">
        <f>_xlfn.XLOOKUP("000121", Sheet1!$O$4:$O$115, Sheet1!$Q$4:$Q$115,0)</f>
        <v>4</v>
      </c>
      <c r="I59" s="8"/>
      <c r="J59" s="8"/>
      <c r="K59" s="22">
        <f t="shared" si="4"/>
        <v>8</v>
      </c>
      <c r="L59" s="8">
        <v>48</v>
      </c>
      <c r="M59" s="8">
        <v>12</v>
      </c>
      <c r="N59" s="9" t="s">
        <v>313</v>
      </c>
      <c r="O59" s="19">
        <v>0</v>
      </c>
      <c r="P59" t="s">
        <v>144</v>
      </c>
      <c r="Q59" s="20"/>
    </row>
    <row r="60" spans="1:17" x14ac:dyDescent="0.25">
      <c r="A60" s="17" t="s">
        <v>184</v>
      </c>
      <c r="B60" s="42" t="s">
        <v>122</v>
      </c>
      <c r="C60" s="24">
        <f t="shared" si="3"/>
        <v>0</v>
      </c>
      <c r="D60" s="27">
        <v>46447</v>
      </c>
      <c r="E60" s="8">
        <f t="shared" ca="1" si="6"/>
        <v>0</v>
      </c>
      <c r="F60" s="22">
        <v>3</v>
      </c>
      <c r="G60" s="22">
        <v>8</v>
      </c>
      <c r="H60" s="21">
        <f>_xlfn.XLOOKUP("000124", Sheet1!$O$4:$O$115, Sheet1!$Q$4:$Q$115,0)</f>
        <v>0</v>
      </c>
      <c r="I60" s="8"/>
      <c r="J60" s="8"/>
      <c r="K60" s="22">
        <f t="shared" si="4"/>
        <v>8</v>
      </c>
      <c r="L60" s="8">
        <v>48</v>
      </c>
      <c r="M60" s="8">
        <v>12</v>
      </c>
      <c r="N60" s="9" t="s">
        <v>313</v>
      </c>
      <c r="O60" s="19">
        <v>0</v>
      </c>
      <c r="P60" t="s">
        <v>144</v>
      </c>
      <c r="Q60" s="20"/>
    </row>
    <row r="61" spans="1:17" x14ac:dyDescent="0.25">
      <c r="A61" s="17" t="s">
        <v>192</v>
      </c>
      <c r="B61" s="25" t="s">
        <v>37</v>
      </c>
      <c r="C61" s="24">
        <f t="shared" si="3"/>
        <v>0</v>
      </c>
      <c r="D61" s="27"/>
      <c r="E61" s="8"/>
      <c r="F61" s="22">
        <v>4</v>
      </c>
      <c r="G61" s="22">
        <v>6</v>
      </c>
      <c r="H61" s="21">
        <f>_xlfn.XLOOKUP("000153", Sheet1!$O$4:$O$115, Sheet1!$Q$4:$Q$115,0)</f>
        <v>0</v>
      </c>
      <c r="I61" s="8"/>
      <c r="J61" s="8"/>
      <c r="K61" s="22">
        <f t="shared" si="4"/>
        <v>6</v>
      </c>
      <c r="L61" s="8">
        <v>24</v>
      </c>
      <c r="M61" s="8">
        <v>14</v>
      </c>
      <c r="N61" s="9" t="s">
        <v>313</v>
      </c>
      <c r="O61" s="19">
        <v>0</v>
      </c>
      <c r="P61" t="s">
        <v>144</v>
      </c>
      <c r="Q61" s="20"/>
    </row>
    <row r="62" spans="1:17" x14ac:dyDescent="0.25">
      <c r="A62" s="17" t="s">
        <v>185</v>
      </c>
      <c r="B62" s="25" t="s">
        <v>31</v>
      </c>
      <c r="C62" s="24">
        <f t="shared" si="3"/>
        <v>0</v>
      </c>
      <c r="D62" s="27">
        <v>46270</v>
      </c>
      <c r="E62" s="8">
        <f ca="1">IF(OR(DATEDIF(TODAY(),D62,"M")=1,DATEDIF(TODAY(),D62,"M")=0),1,0)</f>
        <v>1</v>
      </c>
      <c r="F62" s="22">
        <v>3</v>
      </c>
      <c r="G62" s="22">
        <v>11</v>
      </c>
      <c r="H62" s="21">
        <f>_xlfn.XLOOKUP("000135", Sheet1!$O$4:$O$115, Sheet1!$Q$4:$Q$115,0)</f>
        <v>0</v>
      </c>
      <c r="I62" s="8"/>
      <c r="J62" s="8"/>
      <c r="K62" s="22">
        <f t="shared" si="4"/>
        <v>11</v>
      </c>
      <c r="L62" s="8">
        <v>24</v>
      </c>
      <c r="M62" s="8">
        <v>13</v>
      </c>
      <c r="N62" s="9" t="s">
        <v>314</v>
      </c>
      <c r="O62" s="19">
        <v>0</v>
      </c>
      <c r="P62" t="s">
        <v>144</v>
      </c>
      <c r="Q62" s="20"/>
    </row>
    <row r="63" spans="1:17" x14ac:dyDescent="0.25">
      <c r="A63" s="17" t="s">
        <v>204</v>
      </c>
      <c r="B63" s="25" t="s">
        <v>48</v>
      </c>
      <c r="C63" s="24">
        <f t="shared" si="3"/>
        <v>0</v>
      </c>
      <c r="D63" s="27">
        <v>46698</v>
      </c>
      <c r="E63" s="8">
        <f ca="1">IF(OR(DATEDIF(TODAY(),D63,"M")=1,DATEDIF(TODAY(),D63,"M")=0),1,0)</f>
        <v>0</v>
      </c>
      <c r="F63" s="22">
        <v>3</v>
      </c>
      <c r="G63" s="22">
        <v>12</v>
      </c>
      <c r="H63" s="21">
        <f>_xlfn.XLOOKUP("000208", Sheet1!$O$4:$O$115, Sheet1!$Q$4:$Q$115,0)</f>
        <v>9</v>
      </c>
      <c r="I63" s="8"/>
      <c r="J63" s="8"/>
      <c r="K63" s="22">
        <f t="shared" si="4"/>
        <v>21</v>
      </c>
      <c r="L63" s="8">
        <v>22</v>
      </c>
      <c r="M63" s="8">
        <v>9</v>
      </c>
      <c r="N63" s="9" t="s">
        <v>314</v>
      </c>
      <c r="O63" s="19">
        <v>0</v>
      </c>
      <c r="P63" t="s">
        <v>144</v>
      </c>
      <c r="Q63" s="20"/>
    </row>
    <row r="64" spans="1:17" x14ac:dyDescent="0.25">
      <c r="A64" s="17" t="s">
        <v>205</v>
      </c>
      <c r="B64" s="25" t="s">
        <v>49</v>
      </c>
      <c r="C64" s="24">
        <f t="shared" si="3"/>
        <v>0</v>
      </c>
      <c r="D64" s="27">
        <v>46688</v>
      </c>
      <c r="E64" s="8">
        <f ca="1">IF(OR(DATEDIF(TODAY(),D64,"M")=1,DATEDIF(TODAY(),D64,"M")=0),1,0)</f>
        <v>0</v>
      </c>
      <c r="F64" s="22">
        <v>3</v>
      </c>
      <c r="G64" s="22">
        <v>10</v>
      </c>
      <c r="H64" s="21">
        <f>_xlfn.XLOOKUP("000209", Sheet1!$O$4:$O$115, Sheet1!$Q$4:$Q$115,0)</f>
        <v>9</v>
      </c>
      <c r="I64" s="8"/>
      <c r="J64" s="8"/>
      <c r="K64" s="22">
        <f t="shared" si="4"/>
        <v>19</v>
      </c>
      <c r="L64" s="8">
        <v>22</v>
      </c>
      <c r="M64" s="8">
        <v>9</v>
      </c>
      <c r="N64" s="9" t="s">
        <v>314</v>
      </c>
      <c r="O64" s="19">
        <v>0</v>
      </c>
      <c r="P64" t="s">
        <v>144</v>
      </c>
      <c r="Q64" s="20"/>
    </row>
    <row r="65" spans="1:17" x14ac:dyDescent="0.25">
      <c r="A65" s="17" t="s">
        <v>181</v>
      </c>
      <c r="B65" s="42" t="s">
        <v>121</v>
      </c>
      <c r="C65" s="24">
        <f t="shared" si="3"/>
        <v>0</v>
      </c>
      <c r="D65" s="27"/>
      <c r="E65" s="8"/>
      <c r="F65" s="22">
        <v>4</v>
      </c>
      <c r="G65" s="22">
        <v>15</v>
      </c>
      <c r="H65" s="21">
        <f>_xlfn.XLOOKUP("000109", Sheet1!$O$4:$O$115, Sheet1!$Q$4:$Q$115,0)</f>
        <v>8</v>
      </c>
      <c r="I65" s="8"/>
      <c r="J65" s="8"/>
      <c r="K65" s="22">
        <f t="shared" si="4"/>
        <v>23</v>
      </c>
      <c r="L65" s="8">
        <v>12</v>
      </c>
      <c r="M65" s="8">
        <v>18</v>
      </c>
      <c r="N65" s="9" t="s">
        <v>312</v>
      </c>
      <c r="O65" s="19">
        <v>0</v>
      </c>
      <c r="P65" t="s">
        <v>144</v>
      </c>
      <c r="Q65" s="20"/>
    </row>
    <row r="66" spans="1:17" x14ac:dyDescent="0.25">
      <c r="A66" s="17" t="s">
        <v>189</v>
      </c>
      <c r="B66" s="42" t="s">
        <v>34</v>
      </c>
      <c r="C66" s="24">
        <f t="shared" si="3"/>
        <v>0</v>
      </c>
      <c r="D66" s="27">
        <v>46353</v>
      </c>
      <c r="E66" s="8">
        <f ca="1">IF(OR(DATEDIF(TODAY(),D66,"M")=1,DATEDIF(TODAY(),D66,"M")=0),1,0)</f>
        <v>0</v>
      </c>
      <c r="F66" s="22">
        <v>5</v>
      </c>
      <c r="G66" s="22">
        <v>6</v>
      </c>
      <c r="H66" s="21">
        <f>_xlfn.XLOOKUP("000147", Sheet1!$O$4:$O$115, Sheet1!$Q$4:$Q$115,0)</f>
        <v>0</v>
      </c>
      <c r="I66" s="8"/>
      <c r="J66" s="8"/>
      <c r="K66" s="22">
        <f t="shared" si="4"/>
        <v>6</v>
      </c>
      <c r="L66" s="8">
        <v>24</v>
      </c>
      <c r="M66" s="8">
        <v>9</v>
      </c>
      <c r="N66" s="9" t="s">
        <v>316</v>
      </c>
      <c r="O66" s="19">
        <v>0</v>
      </c>
      <c r="P66" t="s">
        <v>144</v>
      </c>
      <c r="Q66" s="20"/>
    </row>
    <row r="67" spans="1:17" x14ac:dyDescent="0.25">
      <c r="A67" s="17" t="s">
        <v>180</v>
      </c>
      <c r="B67" s="25" t="s">
        <v>28</v>
      </c>
      <c r="C67" s="24">
        <f t="shared" si="3"/>
        <v>0</v>
      </c>
      <c r="D67" s="27"/>
      <c r="E67" s="8"/>
      <c r="F67" s="22">
        <v>4</v>
      </c>
      <c r="G67" s="22">
        <v>10</v>
      </c>
      <c r="H67" s="21">
        <f>_xlfn.XLOOKUP("000106", Sheet1!$O$4:$O$115, Sheet1!$Q$4:$Q$115,0)</f>
        <v>0</v>
      </c>
      <c r="I67" s="8"/>
      <c r="J67" s="8"/>
      <c r="K67" s="22">
        <f t="shared" si="4"/>
        <v>10</v>
      </c>
      <c r="L67" s="8">
        <v>12</v>
      </c>
      <c r="M67" s="8">
        <v>18</v>
      </c>
      <c r="N67" s="9" t="s">
        <v>315</v>
      </c>
      <c r="O67" s="19">
        <v>0</v>
      </c>
      <c r="P67" t="s">
        <v>144</v>
      </c>
      <c r="Q67" s="20"/>
    </row>
    <row r="68" spans="1:17" x14ac:dyDescent="0.25">
      <c r="A68" s="17" t="s">
        <v>197</v>
      </c>
      <c r="B68" s="43" t="s">
        <v>42</v>
      </c>
      <c r="C68" s="24">
        <f t="shared" ref="C68:C99" si="7">IF(AND($C$2*F68&gt;K68,G68+H68+I68+J68&lt;&gt;0),$C$2*F68-K68,0)</f>
        <v>0</v>
      </c>
      <c r="D68" s="27"/>
      <c r="E68" s="8"/>
      <c r="F68" s="22">
        <v>1</v>
      </c>
      <c r="G68" s="22">
        <v>3</v>
      </c>
      <c r="H68" s="21">
        <f>_xlfn.XLOOKUP("000172", Sheet1!$O$4:$O$115, Sheet1!$Q$4:$Q$115,0)</f>
        <v>2</v>
      </c>
      <c r="I68" s="8"/>
      <c r="J68" s="8"/>
      <c r="K68" s="22">
        <f t="shared" ref="K68:K99" si="8">G68+H68-(I68+J68)</f>
        <v>5</v>
      </c>
      <c r="L68" s="8">
        <v>48</v>
      </c>
      <c r="M68" s="8">
        <v>10</v>
      </c>
      <c r="N68" s="9" t="s">
        <v>315</v>
      </c>
      <c r="O68" s="19">
        <v>0</v>
      </c>
      <c r="P68" t="s">
        <v>144</v>
      </c>
      <c r="Q68" s="20"/>
    </row>
    <row r="69" spans="1:17" x14ac:dyDescent="0.25">
      <c r="A69" s="17" t="s">
        <v>182</v>
      </c>
      <c r="B69" s="43" t="s">
        <v>29</v>
      </c>
      <c r="C69" s="24">
        <f t="shared" si="7"/>
        <v>0</v>
      </c>
      <c r="D69" s="27">
        <v>46450</v>
      </c>
      <c r="E69" s="8">
        <f t="shared" ref="E69:E78" ca="1" si="9">IF(OR(DATEDIF(TODAY(),D69,"M")=1,DATEDIF(TODAY(),D69,"M")=0),1,0)</f>
        <v>0</v>
      </c>
      <c r="F69" s="22">
        <v>10</v>
      </c>
      <c r="G69" s="22">
        <v>12</v>
      </c>
      <c r="H69" s="21">
        <f>_xlfn.XLOOKUP("000114", Sheet1!$O$4:$O$115, Sheet1!$Q$4:$Q$115,0)</f>
        <v>0</v>
      </c>
      <c r="I69" s="8"/>
      <c r="J69" s="8"/>
      <c r="K69" s="22">
        <f t="shared" si="8"/>
        <v>12</v>
      </c>
      <c r="L69" s="8">
        <v>12</v>
      </c>
      <c r="M69" s="8">
        <v>40</v>
      </c>
      <c r="N69" s="9" t="s">
        <v>311</v>
      </c>
      <c r="O69" s="19">
        <v>0</v>
      </c>
      <c r="P69" t="s">
        <v>144</v>
      </c>
      <c r="Q69" s="20"/>
    </row>
    <row r="70" spans="1:17" x14ac:dyDescent="0.25">
      <c r="A70" s="17" t="s">
        <v>187</v>
      </c>
      <c r="B70" s="42" t="s">
        <v>123</v>
      </c>
      <c r="C70" s="24">
        <f t="shared" si="7"/>
        <v>0</v>
      </c>
      <c r="D70" s="27">
        <v>46502</v>
      </c>
      <c r="E70" s="8">
        <f t="shared" ca="1" si="9"/>
        <v>0</v>
      </c>
      <c r="F70" s="22">
        <v>10</v>
      </c>
      <c r="G70" s="22">
        <v>11</v>
      </c>
      <c r="H70" s="21">
        <f>_xlfn.XLOOKUP("000141", Sheet1!$O$4:$O$115, Sheet1!$Q$4:$Q$115,0)</f>
        <v>8</v>
      </c>
      <c r="I70" s="8"/>
      <c r="J70" s="8"/>
      <c r="K70" s="22">
        <f t="shared" si="8"/>
        <v>19</v>
      </c>
      <c r="L70" s="8">
        <v>12</v>
      </c>
      <c r="M70" s="8">
        <v>40</v>
      </c>
      <c r="N70" s="9" t="s">
        <v>311</v>
      </c>
      <c r="O70" s="19">
        <v>0</v>
      </c>
      <c r="P70" t="s">
        <v>144</v>
      </c>
      <c r="Q70" s="20"/>
    </row>
    <row r="71" spans="1:17" x14ac:dyDescent="0.25">
      <c r="A71" s="17" t="s">
        <v>150</v>
      </c>
      <c r="B71" s="43" t="s">
        <v>4</v>
      </c>
      <c r="C71" s="24">
        <f t="shared" si="7"/>
        <v>0</v>
      </c>
      <c r="D71" s="27">
        <v>46478</v>
      </c>
      <c r="E71" s="8">
        <f t="shared" ca="1" si="9"/>
        <v>0</v>
      </c>
      <c r="F71" s="22">
        <v>10</v>
      </c>
      <c r="G71" s="22">
        <v>68</v>
      </c>
      <c r="H71" s="21">
        <f>_xlfn.XLOOKUP("000006", Sheet1!$O$4:$O$115, Sheet1!$Q$4:$Q$115,0)</f>
        <v>0</v>
      </c>
      <c r="I71" s="8"/>
      <c r="J71" s="8">
        <v>27</v>
      </c>
      <c r="K71" s="22">
        <f t="shared" si="8"/>
        <v>41</v>
      </c>
      <c r="L71" s="8">
        <v>24</v>
      </c>
      <c r="M71" s="8">
        <v>17</v>
      </c>
      <c r="N71" s="10" t="s">
        <v>289</v>
      </c>
      <c r="O71" s="19">
        <v>0</v>
      </c>
      <c r="P71" t="s">
        <v>144</v>
      </c>
      <c r="Q71" s="20"/>
    </row>
    <row r="72" spans="1:17" x14ac:dyDescent="0.25">
      <c r="A72" s="17" t="s">
        <v>152</v>
      </c>
      <c r="B72" s="25" t="s">
        <v>5</v>
      </c>
      <c r="C72" s="24">
        <f t="shared" si="7"/>
        <v>0</v>
      </c>
      <c r="D72" s="27">
        <v>46478</v>
      </c>
      <c r="E72" s="8">
        <f t="shared" ca="1" si="9"/>
        <v>0</v>
      </c>
      <c r="F72" s="22">
        <v>17</v>
      </c>
      <c r="G72" s="22">
        <v>37</v>
      </c>
      <c r="H72" s="21">
        <f>_xlfn.XLOOKUP("000009", Sheet1!$O$4:$O$115, Sheet1!$Q$4:$Q$115,0)</f>
        <v>0</v>
      </c>
      <c r="I72" s="8"/>
      <c r="J72" s="8"/>
      <c r="K72" s="22">
        <f t="shared" si="8"/>
        <v>37</v>
      </c>
      <c r="L72" s="8">
        <v>24</v>
      </c>
      <c r="M72" s="8">
        <v>17</v>
      </c>
      <c r="N72" s="9" t="s">
        <v>289</v>
      </c>
      <c r="O72" s="19">
        <v>0</v>
      </c>
      <c r="P72" t="s">
        <v>144</v>
      </c>
      <c r="Q72" s="20"/>
    </row>
    <row r="73" spans="1:17" x14ac:dyDescent="0.25">
      <c r="A73" s="17" t="s">
        <v>149</v>
      </c>
      <c r="B73" s="25" t="s">
        <v>3</v>
      </c>
      <c r="C73" s="24">
        <f t="shared" si="7"/>
        <v>0</v>
      </c>
      <c r="D73" s="27">
        <v>46539</v>
      </c>
      <c r="E73" s="8">
        <f t="shared" ca="1" si="9"/>
        <v>0</v>
      </c>
      <c r="F73" s="22">
        <v>5</v>
      </c>
      <c r="G73" s="22">
        <v>27</v>
      </c>
      <c r="H73" s="21">
        <f>_xlfn.XLOOKUP("000003", Sheet1!$O$4:$O$115, Sheet1!$Q$4:$Q$115,0)</f>
        <v>0</v>
      </c>
      <c r="I73" s="8"/>
      <c r="J73" s="8"/>
      <c r="K73" s="22">
        <f t="shared" si="8"/>
        <v>27</v>
      </c>
      <c r="L73" s="8">
        <v>24</v>
      </c>
      <c r="M73" s="8">
        <v>17</v>
      </c>
      <c r="N73" s="9" t="s">
        <v>288</v>
      </c>
      <c r="O73" s="19">
        <v>0</v>
      </c>
      <c r="P73" t="s">
        <v>144</v>
      </c>
      <c r="Q73" s="20"/>
    </row>
    <row r="74" spans="1:17" x14ac:dyDescent="0.25">
      <c r="A74" s="17" t="s">
        <v>153</v>
      </c>
      <c r="B74" s="43" t="s">
        <v>6</v>
      </c>
      <c r="C74" s="24">
        <f t="shared" si="7"/>
        <v>0</v>
      </c>
      <c r="D74" s="27">
        <v>46630</v>
      </c>
      <c r="E74" s="8">
        <f t="shared" ca="1" si="9"/>
        <v>0</v>
      </c>
      <c r="F74" s="22">
        <v>10</v>
      </c>
      <c r="G74" s="22">
        <v>34</v>
      </c>
      <c r="H74" s="21">
        <f>_xlfn.XLOOKUP("000012", Sheet1!$O$4:$O$115, Sheet1!$Q$4:$Q$115,0)</f>
        <v>0</v>
      </c>
      <c r="I74" s="8"/>
      <c r="J74" s="8"/>
      <c r="K74" s="22">
        <f t="shared" si="8"/>
        <v>34</v>
      </c>
      <c r="L74" s="8">
        <v>24</v>
      </c>
      <c r="M74" s="8">
        <v>17</v>
      </c>
      <c r="N74" s="9" t="s">
        <v>288</v>
      </c>
      <c r="O74" s="19">
        <v>0</v>
      </c>
      <c r="P74" t="s">
        <v>144</v>
      </c>
      <c r="Q74" s="20"/>
    </row>
    <row r="75" spans="1:17" x14ac:dyDescent="0.25">
      <c r="A75" s="17" t="s">
        <v>157</v>
      </c>
      <c r="B75" s="43" t="s">
        <v>9</v>
      </c>
      <c r="C75" s="24">
        <f t="shared" si="7"/>
        <v>0</v>
      </c>
      <c r="D75" s="27">
        <v>46600</v>
      </c>
      <c r="E75" s="8">
        <f t="shared" ca="1" si="9"/>
        <v>0</v>
      </c>
      <c r="F75" s="22">
        <v>5</v>
      </c>
      <c r="G75" s="22">
        <v>75</v>
      </c>
      <c r="H75" s="21">
        <f>_xlfn.XLOOKUP("000018", Sheet1!$O$4:$O$115, Sheet1!$Q$4:$Q$115,0)</f>
        <v>0</v>
      </c>
      <c r="I75" s="8"/>
      <c r="J75" s="8"/>
      <c r="K75" s="22">
        <f t="shared" si="8"/>
        <v>75</v>
      </c>
      <c r="L75" s="8">
        <v>48</v>
      </c>
      <c r="M75" s="8">
        <v>14</v>
      </c>
      <c r="N75" s="9" t="s">
        <v>317</v>
      </c>
      <c r="O75" s="19">
        <v>0</v>
      </c>
      <c r="P75" t="s">
        <v>144</v>
      </c>
      <c r="Q75" s="20"/>
    </row>
    <row r="76" spans="1:17" x14ac:dyDescent="0.25">
      <c r="A76" s="17" t="s">
        <v>164</v>
      </c>
      <c r="B76" s="43" t="s">
        <v>15</v>
      </c>
      <c r="C76" s="24">
        <f t="shared" si="7"/>
        <v>0</v>
      </c>
      <c r="D76" s="27">
        <v>46388</v>
      </c>
      <c r="E76" s="8">
        <f t="shared" ca="1" si="9"/>
        <v>0</v>
      </c>
      <c r="F76" s="22">
        <v>17</v>
      </c>
      <c r="G76" s="22">
        <v>0</v>
      </c>
      <c r="H76" s="21">
        <f>_xlfn.XLOOKUP("000042", Sheet1!$O$4:$O$115, Sheet1!$Q$4:$Q$115,0)</f>
        <v>17</v>
      </c>
      <c r="I76" s="8"/>
      <c r="J76" s="8"/>
      <c r="K76" s="22">
        <f t="shared" si="8"/>
        <v>17</v>
      </c>
      <c r="L76" s="8">
        <v>24</v>
      </c>
      <c r="M76" s="8">
        <v>17</v>
      </c>
      <c r="N76" s="9" t="s">
        <v>317</v>
      </c>
      <c r="O76" s="19">
        <v>0</v>
      </c>
      <c r="P76" t="s">
        <v>144</v>
      </c>
      <c r="Q76" s="20"/>
    </row>
    <row r="77" spans="1:17" x14ac:dyDescent="0.25">
      <c r="A77" s="17" t="s">
        <v>158</v>
      </c>
      <c r="B77" s="25" t="s">
        <v>10</v>
      </c>
      <c r="C77" s="24">
        <f t="shared" si="7"/>
        <v>0</v>
      </c>
      <c r="D77" s="27">
        <v>46936</v>
      </c>
      <c r="E77" s="8">
        <f t="shared" ca="1" si="9"/>
        <v>0</v>
      </c>
      <c r="F77" s="22">
        <v>25</v>
      </c>
      <c r="G77" s="22">
        <v>48</v>
      </c>
      <c r="H77" s="21">
        <f>_xlfn.XLOOKUP("000019", Sheet1!$O$4:$O$115, Sheet1!$Q$4:$Q$115,0)</f>
        <v>32</v>
      </c>
      <c r="I77" s="8"/>
      <c r="J77" s="8"/>
      <c r="K77" s="22">
        <f t="shared" si="8"/>
        <v>80</v>
      </c>
      <c r="L77" s="8">
        <v>12</v>
      </c>
      <c r="M77" s="8">
        <v>16</v>
      </c>
      <c r="N77" s="9" t="s">
        <v>318</v>
      </c>
      <c r="O77" s="19">
        <v>0</v>
      </c>
      <c r="P77" t="s">
        <v>144</v>
      </c>
      <c r="Q77" s="20"/>
    </row>
    <row r="78" spans="1:17" x14ac:dyDescent="0.25">
      <c r="A78" s="17" t="s">
        <v>165</v>
      </c>
      <c r="B78" s="26" t="s">
        <v>117</v>
      </c>
      <c r="C78" s="24">
        <f t="shared" si="7"/>
        <v>0</v>
      </c>
      <c r="D78" s="27">
        <v>46327</v>
      </c>
      <c r="E78" s="8">
        <f t="shared" ca="1" si="9"/>
        <v>0</v>
      </c>
      <c r="F78" s="22">
        <v>10</v>
      </c>
      <c r="G78" s="22">
        <v>62</v>
      </c>
      <c r="H78" s="21">
        <f>_xlfn.XLOOKUP("000045", Sheet1!$O$4:$O$115, Sheet1!$Q$4:$Q$115,0)</f>
        <v>0</v>
      </c>
      <c r="I78" s="8"/>
      <c r="J78" s="8"/>
      <c r="K78" s="22">
        <f t="shared" si="8"/>
        <v>62</v>
      </c>
      <c r="L78" s="8">
        <v>24</v>
      </c>
      <c r="M78" s="8">
        <v>17</v>
      </c>
      <c r="N78" s="9" t="s">
        <v>318</v>
      </c>
      <c r="O78" s="19">
        <v>0</v>
      </c>
      <c r="P78" t="s">
        <v>144</v>
      </c>
      <c r="Q78" s="20"/>
    </row>
    <row r="79" spans="1:17" x14ac:dyDescent="0.25">
      <c r="A79" s="17" t="s">
        <v>166</v>
      </c>
      <c r="B79" s="43" t="s">
        <v>18</v>
      </c>
      <c r="C79" s="24">
        <f t="shared" si="7"/>
        <v>0</v>
      </c>
      <c r="D79" s="27"/>
      <c r="E79" s="8"/>
      <c r="F79" s="22">
        <v>5</v>
      </c>
      <c r="G79" s="22">
        <v>0</v>
      </c>
      <c r="H79" s="21">
        <f>_xlfn.XLOOKUP("000046", Sheet1!$O$4:$O$115, Sheet1!$Q$4:$Q$115,0)</f>
        <v>0</v>
      </c>
      <c r="I79" s="8"/>
      <c r="J79" s="8"/>
      <c r="K79" s="22">
        <f t="shared" si="8"/>
        <v>0</v>
      </c>
      <c r="L79" s="8">
        <v>48</v>
      </c>
      <c r="M79" s="8">
        <v>10</v>
      </c>
      <c r="N79" s="9" t="s">
        <v>318</v>
      </c>
      <c r="O79" s="19">
        <v>0</v>
      </c>
      <c r="P79" t="s">
        <v>144</v>
      </c>
      <c r="Q79" s="20"/>
    </row>
    <row r="80" spans="1:17" x14ac:dyDescent="0.25">
      <c r="A80" s="17" t="s">
        <v>169</v>
      </c>
      <c r="B80" s="43" t="s">
        <v>19</v>
      </c>
      <c r="C80" s="24">
        <f t="shared" si="7"/>
        <v>0</v>
      </c>
      <c r="D80" s="27">
        <v>46661</v>
      </c>
      <c r="E80" s="8">
        <f ca="1">IF(OR(DATEDIF(TODAY(),D80,"M")=1,DATEDIF(TODAY(),D80,"M")=0),1,0)</f>
        <v>0</v>
      </c>
      <c r="F80" s="22">
        <v>9</v>
      </c>
      <c r="G80" s="22">
        <v>42</v>
      </c>
      <c r="H80" s="21">
        <f>_xlfn.XLOOKUP("000056", Sheet1!$O$4:$O$115, Sheet1!$Q$4:$Q$115,0)</f>
        <v>14</v>
      </c>
      <c r="I80" s="8"/>
      <c r="J80" s="8"/>
      <c r="K80" s="22">
        <f t="shared" si="8"/>
        <v>56</v>
      </c>
      <c r="L80" s="8">
        <v>12</v>
      </c>
      <c r="M80" s="8">
        <v>14</v>
      </c>
      <c r="N80" s="9" t="s">
        <v>320</v>
      </c>
      <c r="O80" s="19">
        <v>0</v>
      </c>
      <c r="P80" t="s">
        <v>144</v>
      </c>
      <c r="Q80" s="20"/>
    </row>
    <row r="81" spans="1:17" x14ac:dyDescent="0.25">
      <c r="A81" s="17" t="s">
        <v>159</v>
      </c>
      <c r="B81" s="43" t="s">
        <v>11</v>
      </c>
      <c r="C81" s="24">
        <f t="shared" si="7"/>
        <v>0</v>
      </c>
      <c r="D81" s="27">
        <v>46631</v>
      </c>
      <c r="E81" s="8">
        <f ca="1">IF(OR(DATEDIF(TODAY(),D81,"M")=1,DATEDIF(TODAY(),D81,"M")=0),1,0)</f>
        <v>0</v>
      </c>
      <c r="F81" s="22">
        <v>17</v>
      </c>
      <c r="G81" s="22">
        <v>32</v>
      </c>
      <c r="H81" s="21">
        <f>_xlfn.XLOOKUP("000024", Sheet1!$O$4:$O$115, Sheet1!$Q$4:$Q$115,0)</f>
        <v>17</v>
      </c>
      <c r="I81" s="8"/>
      <c r="J81" s="8"/>
      <c r="K81" s="22">
        <f t="shared" si="8"/>
        <v>49</v>
      </c>
      <c r="L81" s="8">
        <v>24</v>
      </c>
      <c r="M81" s="8">
        <v>17</v>
      </c>
      <c r="N81" s="9" t="s">
        <v>319</v>
      </c>
      <c r="O81" s="19">
        <v>0</v>
      </c>
      <c r="P81" t="s">
        <v>144</v>
      </c>
      <c r="Q81" s="20"/>
    </row>
    <row r="82" spans="1:17" x14ac:dyDescent="0.25">
      <c r="A82" s="17" t="s">
        <v>167</v>
      </c>
      <c r="B82" s="43" t="s">
        <v>16</v>
      </c>
      <c r="C82" s="24">
        <f t="shared" si="7"/>
        <v>0</v>
      </c>
      <c r="D82" s="27">
        <v>46357</v>
      </c>
      <c r="E82" s="8">
        <f ca="1">IF(OR(DATEDIF(TODAY(),D82,"M")=1,DATEDIF(TODAY(),D82,"M")=0),1,0)</f>
        <v>0</v>
      </c>
      <c r="F82" s="22">
        <v>8</v>
      </c>
      <c r="G82" s="22">
        <v>62</v>
      </c>
      <c r="H82" s="21">
        <f>_xlfn.XLOOKUP("000048", Sheet1!$O$4:$O$115, Sheet1!$Q$4:$Q$115,0)</f>
        <v>0</v>
      </c>
      <c r="I82" s="8"/>
      <c r="J82" s="8"/>
      <c r="K82" s="22">
        <f t="shared" si="8"/>
        <v>62</v>
      </c>
      <c r="L82" s="8">
        <v>24</v>
      </c>
      <c r="M82" s="8">
        <v>17</v>
      </c>
      <c r="N82" s="9" t="s">
        <v>319</v>
      </c>
      <c r="O82" s="19">
        <v>0</v>
      </c>
      <c r="P82" t="s">
        <v>144</v>
      </c>
      <c r="Q82" s="20"/>
    </row>
    <row r="83" spans="1:17" x14ac:dyDescent="0.25">
      <c r="A83" s="17" t="s">
        <v>151</v>
      </c>
      <c r="B83" s="42" t="s">
        <v>118</v>
      </c>
      <c r="C83" s="24">
        <f t="shared" si="7"/>
        <v>0</v>
      </c>
      <c r="D83" s="27">
        <v>46692</v>
      </c>
      <c r="E83" s="8">
        <f ca="1">IF(OR(DATEDIF(TODAY(),D83,"M")=1,DATEDIF(TODAY(),D83,"M")=0),1,0)</f>
        <v>0</v>
      </c>
      <c r="F83" s="22">
        <v>10</v>
      </c>
      <c r="G83" s="22">
        <v>40</v>
      </c>
      <c r="H83" s="21">
        <f>_xlfn.XLOOKUP("000053", Sheet1!$O$4:$O$115, Sheet1!$Q$4:$Q$115,0)</f>
        <v>0</v>
      </c>
      <c r="I83" s="8"/>
      <c r="J83" s="8">
        <v>25</v>
      </c>
      <c r="K83" s="22">
        <f t="shared" si="8"/>
        <v>15</v>
      </c>
      <c r="L83" s="8">
        <v>24</v>
      </c>
      <c r="M83" s="8">
        <v>17</v>
      </c>
      <c r="N83" s="9" t="s">
        <v>319</v>
      </c>
      <c r="O83" s="19">
        <v>0</v>
      </c>
      <c r="P83" t="s">
        <v>144</v>
      </c>
      <c r="Q83" s="20"/>
    </row>
    <row r="84" spans="1:17" x14ac:dyDescent="0.25">
      <c r="A84" s="17" t="s">
        <v>168</v>
      </c>
      <c r="B84" s="43" t="s">
        <v>17</v>
      </c>
      <c r="C84" s="24">
        <f t="shared" si="7"/>
        <v>0</v>
      </c>
      <c r="D84" s="27"/>
      <c r="E84" s="8"/>
      <c r="F84" s="22">
        <v>5</v>
      </c>
      <c r="G84" s="22">
        <v>0</v>
      </c>
      <c r="H84" s="21">
        <f>_xlfn.XLOOKUP("000054", Sheet1!$O$4:$O$115, Sheet1!$Q$4:$Q$115,0)</f>
        <v>0</v>
      </c>
      <c r="I84" s="8"/>
      <c r="J84" s="8"/>
      <c r="K84" s="22">
        <f t="shared" si="8"/>
        <v>0</v>
      </c>
      <c r="L84" s="8">
        <v>48</v>
      </c>
      <c r="M84" s="8">
        <v>17</v>
      </c>
      <c r="N84" s="9" t="s">
        <v>319</v>
      </c>
      <c r="O84" s="19">
        <v>0</v>
      </c>
      <c r="P84" t="s">
        <v>144</v>
      </c>
      <c r="Q84" s="20"/>
    </row>
    <row r="85" spans="1:17" x14ac:dyDescent="0.25">
      <c r="A85" s="17" t="s">
        <v>171</v>
      </c>
      <c r="B85" s="43" t="s">
        <v>21</v>
      </c>
      <c r="C85" s="24">
        <f t="shared" si="7"/>
        <v>0</v>
      </c>
      <c r="D85" s="27">
        <v>46661</v>
      </c>
      <c r="E85" s="8">
        <f t="shared" ref="E85:E97" ca="1" si="10">IF(OR(DATEDIF(TODAY(),D85,"M")=1,DATEDIF(TODAY(),D85,"M")=0),1,0)</f>
        <v>0</v>
      </c>
      <c r="F85" s="22">
        <v>10</v>
      </c>
      <c r="G85" s="22">
        <v>0</v>
      </c>
      <c r="H85" s="21">
        <f>_xlfn.XLOOKUP("00006", Sheet1!$O$4:$O$115, Sheet1!$Q$4:$Q$115,0)</f>
        <v>0</v>
      </c>
      <c r="I85" s="8"/>
      <c r="J85" s="8"/>
      <c r="K85" s="22">
        <f t="shared" si="8"/>
        <v>0</v>
      </c>
      <c r="L85" s="8">
        <v>12</v>
      </c>
      <c r="M85" s="8">
        <v>10</v>
      </c>
      <c r="N85" s="9" t="s">
        <v>322</v>
      </c>
      <c r="O85" s="19">
        <v>0</v>
      </c>
      <c r="P85" t="s">
        <v>144</v>
      </c>
      <c r="Q85" s="20"/>
    </row>
    <row r="86" spans="1:17" x14ac:dyDescent="0.25">
      <c r="A86" s="17" t="s">
        <v>160</v>
      </c>
      <c r="B86" s="25" t="s">
        <v>12</v>
      </c>
      <c r="C86" s="24">
        <f t="shared" si="7"/>
        <v>0</v>
      </c>
      <c r="D86" s="27">
        <v>46599</v>
      </c>
      <c r="E86" s="8">
        <f t="shared" ca="1" si="10"/>
        <v>0</v>
      </c>
      <c r="F86" s="22">
        <v>17</v>
      </c>
      <c r="G86" s="22">
        <v>34</v>
      </c>
      <c r="H86" s="21">
        <f>_xlfn.XLOOKUP("000027", Sheet1!$O$4:$O$115, Sheet1!$Q$4:$Q$115,0)</f>
        <v>0</v>
      </c>
      <c r="I86" s="8"/>
      <c r="J86" s="8"/>
      <c r="K86" s="22">
        <f t="shared" si="8"/>
        <v>34</v>
      </c>
      <c r="L86" s="8">
        <v>24</v>
      </c>
      <c r="M86" s="8">
        <v>17</v>
      </c>
      <c r="N86" s="9" t="s">
        <v>321</v>
      </c>
      <c r="O86" s="19">
        <v>0</v>
      </c>
      <c r="P86" t="s">
        <v>144</v>
      </c>
      <c r="Q86" s="20"/>
    </row>
    <row r="87" spans="1:17" x14ac:dyDescent="0.25">
      <c r="A87" s="17" t="s">
        <v>163</v>
      </c>
      <c r="B87" s="42" t="s">
        <v>14</v>
      </c>
      <c r="C87" s="24">
        <f t="shared" si="7"/>
        <v>0</v>
      </c>
      <c r="D87" s="27">
        <v>46327</v>
      </c>
      <c r="E87" s="8">
        <f t="shared" ca="1" si="10"/>
        <v>0</v>
      </c>
      <c r="F87" s="22">
        <v>5</v>
      </c>
      <c r="G87" s="22">
        <v>19</v>
      </c>
      <c r="H87" s="21">
        <f>_xlfn.XLOOKUP("000039", Sheet1!$O$4:$O$115, Sheet1!$Q$4:$Q$115,0)</f>
        <v>17</v>
      </c>
      <c r="I87" s="8"/>
      <c r="J87" s="8"/>
      <c r="K87" s="22">
        <f t="shared" si="8"/>
        <v>36</v>
      </c>
      <c r="L87" s="8">
        <v>24</v>
      </c>
      <c r="M87" s="8">
        <v>17</v>
      </c>
      <c r="N87" s="9" t="s">
        <v>321</v>
      </c>
      <c r="O87" s="19">
        <v>0</v>
      </c>
      <c r="P87" t="s">
        <v>144</v>
      </c>
      <c r="Q87" s="20"/>
    </row>
    <row r="88" spans="1:17" x14ac:dyDescent="0.25">
      <c r="A88" s="17" t="s">
        <v>170</v>
      </c>
      <c r="B88" s="42" t="s">
        <v>20</v>
      </c>
      <c r="C88" s="24">
        <f t="shared" si="7"/>
        <v>0</v>
      </c>
      <c r="D88" s="27">
        <v>46997</v>
      </c>
      <c r="E88" s="8">
        <f t="shared" ca="1" si="10"/>
        <v>0</v>
      </c>
      <c r="F88" s="22">
        <v>10</v>
      </c>
      <c r="G88" s="22">
        <v>34</v>
      </c>
      <c r="H88" s="21">
        <f>_xlfn.XLOOKUP("000061", Sheet1!$O$4:$O$115, Sheet1!$Q$4:$Q$115,0)</f>
        <v>0</v>
      </c>
      <c r="I88" s="8"/>
      <c r="J88" s="8"/>
      <c r="K88" s="22">
        <f t="shared" si="8"/>
        <v>34</v>
      </c>
      <c r="L88" s="8">
        <v>12</v>
      </c>
      <c r="M88" s="8">
        <v>10</v>
      </c>
      <c r="N88" s="9" t="s">
        <v>321</v>
      </c>
      <c r="O88" s="19">
        <v>0</v>
      </c>
      <c r="P88" t="s">
        <v>144</v>
      </c>
      <c r="Q88" s="20"/>
    </row>
    <row r="89" spans="1:17" x14ac:dyDescent="0.25">
      <c r="A89" s="17" t="s">
        <v>162</v>
      </c>
      <c r="B89" s="25" t="s">
        <v>13</v>
      </c>
      <c r="C89" s="24">
        <f t="shared" si="7"/>
        <v>0</v>
      </c>
      <c r="D89" s="27">
        <v>46446</v>
      </c>
      <c r="E89" s="8">
        <f t="shared" ca="1" si="10"/>
        <v>0</v>
      </c>
      <c r="F89" s="22">
        <v>10</v>
      </c>
      <c r="G89" s="22">
        <v>29</v>
      </c>
      <c r="H89" s="21">
        <f>_xlfn.XLOOKUP("000037", Sheet1!$O$4:$O$115, Sheet1!$Q$4:$Q$115,0)</f>
        <v>20</v>
      </c>
      <c r="I89" s="8"/>
      <c r="J89" s="8"/>
      <c r="K89" s="22">
        <f t="shared" si="8"/>
        <v>49</v>
      </c>
      <c r="L89" s="8">
        <v>12</v>
      </c>
      <c r="M89" s="8">
        <v>10</v>
      </c>
      <c r="N89" s="9" t="s">
        <v>323</v>
      </c>
      <c r="O89" s="19">
        <v>0</v>
      </c>
      <c r="P89" t="s">
        <v>144</v>
      </c>
      <c r="Q89" s="20"/>
    </row>
    <row r="90" spans="1:17" x14ac:dyDescent="0.25">
      <c r="A90" s="17" t="s">
        <v>174</v>
      </c>
      <c r="B90" s="42" t="s">
        <v>119</v>
      </c>
      <c r="C90" s="24">
        <f t="shared" si="7"/>
        <v>0</v>
      </c>
      <c r="D90" s="27">
        <v>46784</v>
      </c>
      <c r="E90" s="8">
        <f t="shared" ca="1" si="10"/>
        <v>0</v>
      </c>
      <c r="F90" s="22">
        <v>14</v>
      </c>
      <c r="G90" s="22">
        <v>28</v>
      </c>
      <c r="H90" s="21">
        <f>_xlfn.XLOOKUP("000090", Sheet1!$O$4:$O$115, Sheet1!$Q$4:$Q$115,0)</f>
        <v>70</v>
      </c>
      <c r="I90" s="8"/>
      <c r="J90" s="8"/>
      <c r="K90" s="22">
        <f t="shared" si="8"/>
        <v>98</v>
      </c>
      <c r="L90" s="8">
        <v>12</v>
      </c>
      <c r="M90" s="8">
        <v>14</v>
      </c>
      <c r="N90" s="9" t="s">
        <v>323</v>
      </c>
      <c r="O90" s="19">
        <v>0</v>
      </c>
      <c r="P90" t="s">
        <v>144</v>
      </c>
      <c r="Q90" s="20"/>
    </row>
    <row r="91" spans="1:17" x14ac:dyDescent="0.25">
      <c r="A91" s="17" t="s">
        <v>217</v>
      </c>
      <c r="B91" s="25" t="s">
        <v>58</v>
      </c>
      <c r="C91" s="24">
        <f t="shared" si="7"/>
        <v>0</v>
      </c>
      <c r="D91" s="27">
        <v>46357</v>
      </c>
      <c r="E91" s="8">
        <f t="shared" ca="1" si="10"/>
        <v>0</v>
      </c>
      <c r="F91" s="22">
        <v>1</v>
      </c>
      <c r="G91" s="22">
        <v>14</v>
      </c>
      <c r="H91" s="21">
        <f>_xlfn.XLOOKUP("000286", Sheet1!$O$4:$O$115, Sheet1!$Q$4:$Q$115,0)</f>
        <v>0</v>
      </c>
      <c r="I91" s="8"/>
      <c r="J91" s="8"/>
      <c r="K91" s="22">
        <f t="shared" si="8"/>
        <v>14</v>
      </c>
      <c r="L91" s="8">
        <v>12</v>
      </c>
      <c r="M91" s="8">
        <v>12</v>
      </c>
      <c r="N91" s="9" t="s">
        <v>324</v>
      </c>
      <c r="O91" s="19">
        <v>0</v>
      </c>
      <c r="P91" t="s">
        <v>144</v>
      </c>
      <c r="Q91" s="20"/>
    </row>
    <row r="92" spans="1:17" x14ac:dyDescent="0.25">
      <c r="A92" s="17" t="s">
        <v>218</v>
      </c>
      <c r="B92" s="25" t="s">
        <v>59</v>
      </c>
      <c r="C92" s="24">
        <f t="shared" si="7"/>
        <v>0</v>
      </c>
      <c r="D92" s="27">
        <v>46660</v>
      </c>
      <c r="E92" s="8">
        <f t="shared" ca="1" si="10"/>
        <v>0</v>
      </c>
      <c r="F92" s="22">
        <v>2</v>
      </c>
      <c r="G92" s="22">
        <v>18</v>
      </c>
      <c r="H92" s="21">
        <f>_xlfn.XLOOKUP("000289", Sheet1!$O$4:$O$115, Sheet1!$Q$4:$Q$115,0)</f>
        <v>12</v>
      </c>
      <c r="I92" s="8"/>
      <c r="J92" s="8"/>
      <c r="K92" s="22">
        <f t="shared" si="8"/>
        <v>30</v>
      </c>
      <c r="L92" s="8">
        <v>12</v>
      </c>
      <c r="M92" s="8">
        <v>12</v>
      </c>
      <c r="N92" s="9" t="s">
        <v>324</v>
      </c>
      <c r="O92" s="19">
        <v>0</v>
      </c>
      <c r="P92" t="s">
        <v>144</v>
      </c>
      <c r="Q92" s="20"/>
    </row>
    <row r="93" spans="1:17" x14ac:dyDescent="0.25">
      <c r="A93" s="17" t="s">
        <v>258</v>
      </c>
      <c r="B93" s="25" t="s">
        <v>88</v>
      </c>
      <c r="C93" s="24">
        <f t="shared" si="7"/>
        <v>0</v>
      </c>
      <c r="D93" s="27">
        <v>46992</v>
      </c>
      <c r="E93" s="8">
        <f t="shared" ca="1" si="10"/>
        <v>0</v>
      </c>
      <c r="F93" s="22">
        <v>10</v>
      </c>
      <c r="G93" s="22">
        <v>23</v>
      </c>
      <c r="H93" s="21">
        <f>_xlfn.XLOOKUP("000439", Sheet1!$O$4:$O$115, Sheet1!$Q$4:$Q$115,0)</f>
        <v>0</v>
      </c>
      <c r="I93" s="8"/>
      <c r="J93" s="8"/>
      <c r="K93" s="22">
        <f t="shared" si="8"/>
        <v>23</v>
      </c>
      <c r="L93" s="8">
        <v>24</v>
      </c>
      <c r="M93" s="8">
        <v>24</v>
      </c>
      <c r="N93" s="9" t="s">
        <v>325</v>
      </c>
      <c r="O93" s="19">
        <v>0</v>
      </c>
      <c r="P93" t="s">
        <v>144</v>
      </c>
      <c r="Q93" s="20"/>
    </row>
    <row r="94" spans="1:17" x14ac:dyDescent="0.25">
      <c r="A94" s="17" t="s">
        <v>154</v>
      </c>
      <c r="B94" s="25" t="s">
        <v>7</v>
      </c>
      <c r="C94" s="24">
        <f t="shared" si="7"/>
        <v>0</v>
      </c>
      <c r="D94" s="27">
        <v>46599</v>
      </c>
      <c r="E94" s="8">
        <f t="shared" ca="1" si="10"/>
        <v>0</v>
      </c>
      <c r="F94" s="22">
        <v>5</v>
      </c>
      <c r="G94" s="22">
        <v>14</v>
      </c>
      <c r="H94" s="21">
        <f>_xlfn.XLOOKUP("000014", Sheet1!$O$4:$O$115, Sheet1!$Q$4:$Q$115,0)</f>
        <v>17</v>
      </c>
      <c r="I94" s="8"/>
      <c r="J94" s="8"/>
      <c r="K94" s="22">
        <f t="shared" si="8"/>
        <v>31</v>
      </c>
      <c r="L94" s="8">
        <v>24</v>
      </c>
      <c r="M94" s="8">
        <v>17</v>
      </c>
      <c r="N94" s="9" t="s">
        <v>327</v>
      </c>
      <c r="O94" s="19">
        <v>0</v>
      </c>
      <c r="P94" t="s">
        <v>144</v>
      </c>
      <c r="Q94" s="20"/>
    </row>
    <row r="95" spans="1:17" x14ac:dyDescent="0.25">
      <c r="A95" s="17" t="s">
        <v>156</v>
      </c>
      <c r="B95" s="42" t="s">
        <v>115</v>
      </c>
      <c r="C95" s="24">
        <f t="shared" si="7"/>
        <v>0</v>
      </c>
      <c r="D95" s="27">
        <v>46569</v>
      </c>
      <c r="E95" s="8">
        <f t="shared" ca="1" si="10"/>
        <v>0</v>
      </c>
      <c r="F95" s="22">
        <v>5</v>
      </c>
      <c r="G95" s="22">
        <v>10</v>
      </c>
      <c r="H95" s="21">
        <f>_xlfn.XLOOKUP("000016", Sheet1!$O$4:$O$115, Sheet1!$Q$4:$Q$115,0)</f>
        <v>0</v>
      </c>
      <c r="I95" s="8"/>
      <c r="J95" s="8"/>
      <c r="K95" s="22">
        <f t="shared" si="8"/>
        <v>10</v>
      </c>
      <c r="L95" s="8">
        <v>24</v>
      </c>
      <c r="M95" s="8">
        <v>17</v>
      </c>
      <c r="N95" s="9" t="s">
        <v>327</v>
      </c>
      <c r="O95" s="19">
        <v>0</v>
      </c>
      <c r="P95" t="s">
        <v>144</v>
      </c>
      <c r="Q95" s="20"/>
    </row>
    <row r="96" spans="1:17" x14ac:dyDescent="0.25">
      <c r="A96" s="17" t="s">
        <v>155</v>
      </c>
      <c r="B96" s="43" t="s">
        <v>8</v>
      </c>
      <c r="C96" s="24">
        <f t="shared" si="7"/>
        <v>0</v>
      </c>
      <c r="D96" s="27">
        <v>46966</v>
      </c>
      <c r="E96" s="8">
        <f t="shared" ca="1" si="10"/>
        <v>0</v>
      </c>
      <c r="F96" s="22">
        <v>4</v>
      </c>
      <c r="G96" s="22">
        <v>22</v>
      </c>
      <c r="H96" s="21">
        <f>_xlfn.XLOOKUP("000015", Sheet1!$O$4:$O$115, Sheet1!$Q$4:$Q$115,0)</f>
        <v>0</v>
      </c>
      <c r="I96" s="8"/>
      <c r="J96" s="8"/>
      <c r="K96" s="22">
        <f t="shared" si="8"/>
        <v>22</v>
      </c>
      <c r="L96" s="8">
        <v>24</v>
      </c>
      <c r="M96" s="8">
        <v>17</v>
      </c>
      <c r="N96" s="9" t="s">
        <v>326</v>
      </c>
      <c r="O96" s="19">
        <v>0</v>
      </c>
      <c r="P96" t="s">
        <v>144</v>
      </c>
      <c r="Q96" s="20"/>
    </row>
    <row r="97" spans="1:17" x14ac:dyDescent="0.25">
      <c r="A97" s="17" t="s">
        <v>188</v>
      </c>
      <c r="B97" s="25" t="s">
        <v>33</v>
      </c>
      <c r="C97" s="24">
        <f t="shared" si="7"/>
        <v>0</v>
      </c>
      <c r="D97" s="27">
        <v>46371</v>
      </c>
      <c r="E97" s="8">
        <f t="shared" ca="1" si="10"/>
        <v>0</v>
      </c>
      <c r="F97" s="22">
        <v>5</v>
      </c>
      <c r="G97" s="22">
        <v>16</v>
      </c>
      <c r="H97" s="21">
        <f>_xlfn.XLOOKUP("000145", Sheet1!$O$4:$O$115, Sheet1!$Q$4:$Q$115,0)</f>
        <v>0</v>
      </c>
      <c r="I97" s="8"/>
      <c r="J97" s="8"/>
      <c r="K97" s="22">
        <f t="shared" si="8"/>
        <v>16</v>
      </c>
      <c r="L97" s="8">
        <v>12</v>
      </c>
      <c r="M97" s="8">
        <v>9</v>
      </c>
      <c r="N97" s="9" t="s">
        <v>326</v>
      </c>
      <c r="O97" s="19">
        <v>0</v>
      </c>
      <c r="P97" t="s">
        <v>144</v>
      </c>
      <c r="Q97" s="20"/>
    </row>
    <row r="98" spans="1:17" x14ac:dyDescent="0.25">
      <c r="A98" s="17" t="s">
        <v>257</v>
      </c>
      <c r="B98" s="25" t="s">
        <v>87</v>
      </c>
      <c r="C98" s="24">
        <f t="shared" si="7"/>
        <v>0</v>
      </c>
      <c r="D98" s="27"/>
      <c r="E98" s="8"/>
      <c r="F98" s="22"/>
      <c r="G98" s="22">
        <v>0</v>
      </c>
      <c r="H98" s="21">
        <f>_xlfn.XLOOKUP("000437", Sheet1!$O$4:$O$115, Sheet1!$Q$4:$Q$115,0)</f>
        <v>0</v>
      </c>
      <c r="I98" s="8"/>
      <c r="J98" s="8"/>
      <c r="K98" s="22">
        <f t="shared" si="8"/>
        <v>0</v>
      </c>
      <c r="L98" s="8"/>
      <c r="M98" s="8"/>
      <c r="N98" s="9" t="s">
        <v>329</v>
      </c>
      <c r="O98" s="19">
        <v>0</v>
      </c>
      <c r="P98" t="s">
        <v>144</v>
      </c>
      <c r="Q98" s="20"/>
    </row>
    <row r="99" spans="1:17" x14ac:dyDescent="0.25">
      <c r="A99" s="17" t="s">
        <v>259</v>
      </c>
      <c r="B99" s="25" t="s">
        <v>89</v>
      </c>
      <c r="C99" s="24">
        <f t="shared" si="7"/>
        <v>0</v>
      </c>
      <c r="D99" s="27"/>
      <c r="E99" s="8"/>
      <c r="F99" s="22"/>
      <c r="G99" s="22">
        <v>0</v>
      </c>
      <c r="H99" s="21">
        <f>_xlfn.XLOOKUP("000440", Sheet1!$O$4:$O$115, Sheet1!$Q$4:$Q$115,0)</f>
        <v>0</v>
      </c>
      <c r="I99" s="8"/>
      <c r="J99" s="8"/>
      <c r="K99" s="22">
        <f t="shared" si="8"/>
        <v>0</v>
      </c>
      <c r="L99" s="8"/>
      <c r="M99" s="8"/>
      <c r="N99" s="9" t="s">
        <v>329</v>
      </c>
      <c r="O99" s="19">
        <v>0</v>
      </c>
      <c r="P99" t="s">
        <v>144</v>
      </c>
      <c r="Q99" s="20"/>
    </row>
    <row r="100" spans="1:17" x14ac:dyDescent="0.25">
      <c r="A100" s="17" t="s">
        <v>260</v>
      </c>
      <c r="B100" s="43" t="s">
        <v>90</v>
      </c>
      <c r="C100" s="24">
        <f t="shared" ref="C100:C115" si="11">IF(AND($C$2*F100&gt;K100,G100+H100+I100+J100&lt;&gt;0),$C$2*F100-K100,0)</f>
        <v>0</v>
      </c>
      <c r="D100" s="27"/>
      <c r="E100" s="8"/>
      <c r="F100" s="22"/>
      <c r="G100" s="22">
        <v>0</v>
      </c>
      <c r="H100" s="21">
        <f>_xlfn.XLOOKUP("000442", Sheet1!$O$4:$O$115, Sheet1!$Q$4:$Q$115,0)</f>
        <v>0</v>
      </c>
      <c r="I100" s="8"/>
      <c r="J100" s="8"/>
      <c r="K100" s="22">
        <f t="shared" ref="K100:K115" si="12">G100+H100-(I100+J100)</f>
        <v>0</v>
      </c>
      <c r="L100" s="8"/>
      <c r="M100" s="8"/>
      <c r="N100" s="9" t="s">
        <v>329</v>
      </c>
      <c r="O100" s="19">
        <v>0</v>
      </c>
      <c r="P100" t="s">
        <v>144</v>
      </c>
      <c r="Q100" s="20"/>
    </row>
    <row r="101" spans="1:17" x14ac:dyDescent="0.25">
      <c r="A101" s="17" t="s">
        <v>256</v>
      </c>
      <c r="B101" s="25" t="s">
        <v>86</v>
      </c>
      <c r="C101" s="24">
        <f t="shared" si="11"/>
        <v>0</v>
      </c>
      <c r="D101" s="27"/>
      <c r="E101" s="8"/>
      <c r="F101" s="22"/>
      <c r="G101" s="22">
        <v>0</v>
      </c>
      <c r="H101" s="21">
        <f>_xlfn.XLOOKUP("000430", Sheet1!$O$4:$O$115, Sheet1!$Q$4:$Q$115,0)</f>
        <v>0</v>
      </c>
      <c r="I101" s="8"/>
      <c r="J101" s="8"/>
      <c r="K101" s="22">
        <f t="shared" si="12"/>
        <v>0</v>
      </c>
      <c r="L101" s="8">
        <v>30</v>
      </c>
      <c r="M101" s="8">
        <v>20</v>
      </c>
      <c r="N101" s="9" t="s">
        <v>328</v>
      </c>
      <c r="O101" s="19">
        <v>0</v>
      </c>
      <c r="P101" t="s">
        <v>144</v>
      </c>
      <c r="Q101" s="20"/>
    </row>
    <row r="102" spans="1:17" x14ac:dyDescent="0.25">
      <c r="A102" s="17" t="s">
        <v>198</v>
      </c>
      <c r="B102" s="42" t="s">
        <v>43</v>
      </c>
      <c r="C102" s="24">
        <f t="shared" si="11"/>
        <v>0</v>
      </c>
      <c r="D102" s="27">
        <v>46356</v>
      </c>
      <c r="E102" s="8">
        <f ca="1">IF(OR(DATEDIF(TODAY(),D102,"M")=1,DATEDIF(TODAY(),D102,"M")=0),1,0)</f>
        <v>0</v>
      </c>
      <c r="F102" s="22">
        <v>2</v>
      </c>
      <c r="G102" s="22">
        <v>3</v>
      </c>
      <c r="H102" s="21">
        <f>_xlfn.XLOOKUP("000178", Sheet1!$O$4:$O$115, Sheet1!$Q$4:$Q$115,0)</f>
        <v>1</v>
      </c>
      <c r="I102" s="8"/>
      <c r="J102" s="8"/>
      <c r="K102" s="22">
        <f t="shared" si="12"/>
        <v>4</v>
      </c>
      <c r="L102" s="8">
        <v>4</v>
      </c>
      <c r="M102" s="8"/>
      <c r="N102" s="9" t="s">
        <v>92</v>
      </c>
      <c r="O102" s="19">
        <v>0</v>
      </c>
      <c r="P102" t="s">
        <v>144</v>
      </c>
      <c r="Q102" s="20"/>
    </row>
    <row r="103" spans="1:17" x14ac:dyDescent="0.25">
      <c r="A103" s="17" t="s">
        <v>216</v>
      </c>
      <c r="B103" s="42" t="s">
        <v>127</v>
      </c>
      <c r="C103" s="24">
        <f t="shared" si="11"/>
        <v>0</v>
      </c>
      <c r="D103" s="27"/>
      <c r="E103" s="8"/>
      <c r="F103" s="22">
        <v>14</v>
      </c>
      <c r="G103" s="22">
        <v>3</v>
      </c>
      <c r="H103" s="21">
        <f>_xlfn.XLOOKUP("000267", Sheet1!$O$4:$O$115, Sheet1!$Q$4:$Q$115,0)</f>
        <v>12</v>
      </c>
      <c r="I103" s="8"/>
      <c r="J103" s="8"/>
      <c r="K103" s="22">
        <f t="shared" si="12"/>
        <v>15</v>
      </c>
      <c r="L103" s="8"/>
      <c r="M103" s="8"/>
      <c r="N103" s="9" t="s">
        <v>92</v>
      </c>
      <c r="O103" s="19">
        <v>0</v>
      </c>
      <c r="P103" t="s">
        <v>144</v>
      </c>
      <c r="Q103" s="20"/>
    </row>
    <row r="104" spans="1:17" x14ac:dyDescent="0.25">
      <c r="A104" s="17" t="s">
        <v>219</v>
      </c>
      <c r="B104" s="26" t="s">
        <v>60</v>
      </c>
      <c r="C104" s="24">
        <f t="shared" si="11"/>
        <v>0</v>
      </c>
      <c r="D104" s="27"/>
      <c r="E104" s="8"/>
      <c r="F104" s="22">
        <v>16</v>
      </c>
      <c r="G104" s="22">
        <v>6</v>
      </c>
      <c r="H104" s="21">
        <f>_xlfn.XLOOKUP("000292", Sheet1!$O$4:$O$115, Sheet1!$Q$4:$Q$115,0)</f>
        <v>13</v>
      </c>
      <c r="I104" s="8"/>
      <c r="J104" s="8"/>
      <c r="K104" s="22">
        <f t="shared" si="12"/>
        <v>19</v>
      </c>
      <c r="L104" s="8"/>
      <c r="M104" s="8"/>
      <c r="N104" s="9" t="s">
        <v>92</v>
      </c>
      <c r="O104" s="19">
        <v>0</v>
      </c>
      <c r="P104" t="s">
        <v>144</v>
      </c>
      <c r="Q104" s="20"/>
    </row>
    <row r="105" spans="1:17" x14ac:dyDescent="0.25">
      <c r="A105" s="17" t="s">
        <v>220</v>
      </c>
      <c r="B105" s="42" t="s">
        <v>61</v>
      </c>
      <c r="C105" s="24">
        <f t="shared" si="11"/>
        <v>0</v>
      </c>
      <c r="D105" s="27">
        <v>46393</v>
      </c>
      <c r="E105" s="8">
        <f ca="1">IF(OR(DATEDIF(TODAY(),D105,"M")=1,DATEDIF(TODAY(),D105,"M")=0),1,0)</f>
        <v>0</v>
      </c>
      <c r="F105" s="22">
        <v>18</v>
      </c>
      <c r="G105" s="22">
        <v>20</v>
      </c>
      <c r="H105" s="21">
        <f>_xlfn.XLOOKUP("000298", Sheet1!$O$4:$O$115, Sheet1!$Q$4:$Q$115,0)</f>
        <v>12</v>
      </c>
      <c r="I105" s="8"/>
      <c r="J105" s="8"/>
      <c r="K105" s="22">
        <f t="shared" si="12"/>
        <v>32</v>
      </c>
      <c r="L105" s="8"/>
      <c r="M105" s="8"/>
      <c r="N105" s="9" t="s">
        <v>92</v>
      </c>
      <c r="O105" s="19">
        <v>0</v>
      </c>
      <c r="P105" t="s">
        <v>144</v>
      </c>
      <c r="Q105" s="20"/>
    </row>
    <row r="106" spans="1:17" x14ac:dyDescent="0.25">
      <c r="A106" s="17" t="s">
        <v>221</v>
      </c>
      <c r="B106" s="26" t="s">
        <v>128</v>
      </c>
      <c r="C106" s="24">
        <f t="shared" si="11"/>
        <v>0</v>
      </c>
      <c r="D106" s="27"/>
      <c r="E106" s="8"/>
      <c r="F106" s="22">
        <v>20</v>
      </c>
      <c r="G106" s="22">
        <v>0</v>
      </c>
      <c r="H106" s="21">
        <f>_xlfn.XLOOKUP("000305", Sheet1!$O$4:$O$115, Sheet1!$Q$4:$Q$115,0)</f>
        <v>20</v>
      </c>
      <c r="I106" s="8"/>
      <c r="J106" s="8"/>
      <c r="K106" s="22">
        <f t="shared" si="12"/>
        <v>20</v>
      </c>
      <c r="L106" s="8">
        <v>14</v>
      </c>
      <c r="M106" s="8"/>
      <c r="N106" s="9" t="s">
        <v>1</v>
      </c>
      <c r="O106" s="19">
        <v>0</v>
      </c>
      <c r="P106" t="s">
        <v>144</v>
      </c>
      <c r="Q106" s="20"/>
    </row>
    <row r="107" spans="1:17" x14ac:dyDescent="0.25">
      <c r="A107" s="17" t="s">
        <v>222</v>
      </c>
      <c r="B107" s="43" t="s">
        <v>62</v>
      </c>
      <c r="C107" s="24">
        <f t="shared" si="11"/>
        <v>0</v>
      </c>
      <c r="D107" s="27"/>
      <c r="E107" s="8"/>
      <c r="F107" s="22">
        <v>10</v>
      </c>
      <c r="G107" s="22">
        <v>0</v>
      </c>
      <c r="H107" s="21">
        <f>_xlfn.XLOOKUP("000310", Sheet1!$O$4:$O$115, Sheet1!$Q$4:$Q$115,0)</f>
        <v>10</v>
      </c>
      <c r="I107" s="8"/>
      <c r="J107" s="8"/>
      <c r="K107" s="22">
        <f t="shared" si="12"/>
        <v>10</v>
      </c>
      <c r="L107" s="8">
        <v>14</v>
      </c>
      <c r="M107" s="8"/>
      <c r="N107" s="9" t="s">
        <v>1</v>
      </c>
      <c r="O107" s="19">
        <v>0</v>
      </c>
      <c r="P107" t="s">
        <v>144</v>
      </c>
      <c r="Q107" s="20"/>
    </row>
    <row r="108" spans="1:17" x14ac:dyDescent="0.25">
      <c r="A108" s="17" t="s">
        <v>223</v>
      </c>
      <c r="B108" s="42" t="s">
        <v>63</v>
      </c>
      <c r="C108" s="24">
        <f t="shared" si="11"/>
        <v>0</v>
      </c>
      <c r="D108" s="27"/>
      <c r="E108" s="8"/>
      <c r="F108" s="22">
        <v>20</v>
      </c>
      <c r="G108" s="22">
        <v>0</v>
      </c>
      <c r="H108" s="21">
        <f>_xlfn.XLOOKUP("000313", Sheet1!$O$4:$O$115, Sheet1!$Q$4:$Q$115,0)</f>
        <v>20</v>
      </c>
      <c r="I108" s="8"/>
      <c r="J108" s="8"/>
      <c r="K108" s="22">
        <f t="shared" si="12"/>
        <v>20</v>
      </c>
      <c r="L108" s="8">
        <v>8</v>
      </c>
      <c r="M108" s="8"/>
      <c r="N108" s="9" t="s">
        <v>1</v>
      </c>
      <c r="O108" s="19">
        <v>0</v>
      </c>
      <c r="P108" t="s">
        <v>144</v>
      </c>
      <c r="Q108" s="20"/>
    </row>
    <row r="109" spans="1:17" x14ac:dyDescent="0.25">
      <c r="A109" s="17" t="s">
        <v>224</v>
      </c>
      <c r="B109" s="42" t="s">
        <v>64</v>
      </c>
      <c r="C109" s="24">
        <f t="shared" si="11"/>
        <v>0</v>
      </c>
      <c r="D109" s="27"/>
      <c r="E109" s="8"/>
      <c r="F109" s="22">
        <v>10</v>
      </c>
      <c r="G109" s="22">
        <v>0</v>
      </c>
      <c r="H109" s="21">
        <f>_xlfn.XLOOKUP("000320", Sheet1!$O$4:$O$115, Sheet1!$Q$4:$Q$115,0)</f>
        <v>10</v>
      </c>
      <c r="I109" s="8"/>
      <c r="J109" s="8"/>
      <c r="K109" s="22">
        <f t="shared" si="12"/>
        <v>10</v>
      </c>
      <c r="L109" s="8">
        <v>15</v>
      </c>
      <c r="M109" s="8"/>
      <c r="N109" s="9" t="s">
        <v>1</v>
      </c>
      <c r="O109" s="19">
        <v>0</v>
      </c>
      <c r="P109" t="s">
        <v>144</v>
      </c>
      <c r="Q109" s="20"/>
    </row>
    <row r="110" spans="1:17" x14ac:dyDescent="0.25">
      <c r="A110" s="17" t="s">
        <v>225</v>
      </c>
      <c r="B110" s="42" t="s">
        <v>129</v>
      </c>
      <c r="C110" s="24">
        <f t="shared" si="11"/>
        <v>5</v>
      </c>
      <c r="D110" s="27"/>
      <c r="E110" s="8"/>
      <c r="F110" s="22">
        <v>15</v>
      </c>
      <c r="G110" s="22">
        <v>0</v>
      </c>
      <c r="H110" s="21">
        <f>_xlfn.XLOOKUP("000325", Sheet1!$O$4:$O$115, Sheet1!$Q$4:$Q$115,0)</f>
        <v>10</v>
      </c>
      <c r="I110" s="8"/>
      <c r="J110" s="8"/>
      <c r="K110" s="22">
        <f t="shared" si="12"/>
        <v>10</v>
      </c>
      <c r="L110" s="8">
        <v>10</v>
      </c>
      <c r="M110" s="8"/>
      <c r="N110" s="9" t="s">
        <v>1</v>
      </c>
      <c r="O110" s="19">
        <v>0</v>
      </c>
      <c r="P110" t="s">
        <v>144</v>
      </c>
      <c r="Q110" s="20"/>
    </row>
    <row r="111" spans="1:17" x14ac:dyDescent="0.25">
      <c r="A111" s="17" t="s">
        <v>226</v>
      </c>
      <c r="B111" s="42" t="s">
        <v>65</v>
      </c>
      <c r="C111" s="24">
        <f t="shared" si="11"/>
        <v>0</v>
      </c>
      <c r="D111" s="27"/>
      <c r="E111" s="8"/>
      <c r="F111" s="22">
        <v>20</v>
      </c>
      <c r="G111" s="22">
        <v>0</v>
      </c>
      <c r="H111" s="21">
        <f>_xlfn.XLOOKUP("000329", Sheet1!$O$4:$O$115, Sheet1!$Q$4:$Q$115,0)</f>
        <v>0</v>
      </c>
      <c r="I111" s="8"/>
      <c r="J111" s="8"/>
      <c r="K111" s="22">
        <f t="shared" si="12"/>
        <v>0</v>
      </c>
      <c r="L111" s="8">
        <v>14</v>
      </c>
      <c r="M111" s="8"/>
      <c r="N111" s="9" t="s">
        <v>1</v>
      </c>
      <c r="O111" s="19">
        <v>0</v>
      </c>
      <c r="P111" t="s">
        <v>144</v>
      </c>
      <c r="Q111" s="20"/>
    </row>
    <row r="112" spans="1:17" x14ac:dyDescent="0.25">
      <c r="A112" s="17" t="s">
        <v>227</v>
      </c>
      <c r="B112" s="42" t="s">
        <v>130</v>
      </c>
      <c r="C112" s="24">
        <f t="shared" si="11"/>
        <v>0</v>
      </c>
      <c r="D112" s="27"/>
      <c r="E112" s="8"/>
      <c r="F112" s="22">
        <v>20</v>
      </c>
      <c r="G112" s="22">
        <v>0</v>
      </c>
      <c r="H112" s="21">
        <f>_xlfn.XLOOKUP("000331", Sheet1!$O$4:$O$115, Sheet1!$Q$4:$Q$115,0)</f>
        <v>30</v>
      </c>
      <c r="I112" s="8"/>
      <c r="J112" s="8"/>
      <c r="K112" s="22">
        <f t="shared" si="12"/>
        <v>30</v>
      </c>
      <c r="L112" s="8">
        <v>10</v>
      </c>
      <c r="M112" s="8"/>
      <c r="N112" s="9" t="s">
        <v>1</v>
      </c>
      <c r="O112" s="19">
        <v>0</v>
      </c>
      <c r="P112" t="s">
        <v>144</v>
      </c>
      <c r="Q112" s="20"/>
    </row>
    <row r="113" spans="1:17" x14ac:dyDescent="0.25">
      <c r="A113" s="17" t="s">
        <v>228</v>
      </c>
      <c r="B113" s="25" t="s">
        <v>2</v>
      </c>
      <c r="C113" s="24">
        <f t="shared" si="11"/>
        <v>0</v>
      </c>
      <c r="D113" s="27"/>
      <c r="E113" s="8"/>
      <c r="F113" s="22"/>
      <c r="G113" s="22">
        <v>0</v>
      </c>
      <c r="H113" s="21">
        <f>_xlfn.XLOOKUP("000336", Sheet1!$O$4:$O$115, Sheet1!$Q$4:$Q$115,0)</f>
        <v>0</v>
      </c>
      <c r="I113" s="8"/>
      <c r="J113" s="8"/>
      <c r="K113" s="22">
        <f t="shared" si="12"/>
        <v>0</v>
      </c>
      <c r="L113" s="8">
        <v>4</v>
      </c>
      <c r="M113" s="8">
        <v>1</v>
      </c>
      <c r="N113" s="9" t="s">
        <v>1</v>
      </c>
      <c r="O113" s="19">
        <v>0</v>
      </c>
      <c r="P113" t="s">
        <v>144</v>
      </c>
      <c r="Q113" s="20"/>
    </row>
    <row r="114" spans="1:17" x14ac:dyDescent="0.25">
      <c r="A114" s="17" t="s">
        <v>229</v>
      </c>
      <c r="B114" s="42" t="s">
        <v>131</v>
      </c>
      <c r="C114" s="24">
        <f t="shared" si="11"/>
        <v>0</v>
      </c>
      <c r="D114" s="27"/>
      <c r="E114" s="8"/>
      <c r="F114" s="22">
        <v>10</v>
      </c>
      <c r="G114" s="22">
        <v>0</v>
      </c>
      <c r="H114" s="21">
        <f>_xlfn.XLOOKUP("000343", Sheet1!$O$4:$O$115, Sheet1!$Q$4:$Q$115,0)</f>
        <v>10</v>
      </c>
      <c r="I114" s="8"/>
      <c r="J114" s="8"/>
      <c r="K114" s="22">
        <f t="shared" si="12"/>
        <v>10</v>
      </c>
      <c r="L114" s="8">
        <v>27</v>
      </c>
      <c r="M114" s="8"/>
      <c r="N114" s="9" t="s">
        <v>1</v>
      </c>
      <c r="O114" s="19">
        <v>0</v>
      </c>
      <c r="P114" t="s">
        <v>144</v>
      </c>
      <c r="Q114" s="20"/>
    </row>
    <row r="115" spans="1:17" x14ac:dyDescent="0.25">
      <c r="A115" s="18" t="s">
        <v>248</v>
      </c>
      <c r="B115" s="11"/>
      <c r="C115" s="24">
        <f t="shared" si="11"/>
        <v>0</v>
      </c>
      <c r="D115" s="28"/>
      <c r="E115" s="8"/>
      <c r="F115" s="23"/>
      <c r="G115" s="22">
        <v>0</v>
      </c>
      <c r="H115" s="21">
        <f>_xlfn.XLOOKUP("000411", Sheet1!$O$4:$O$115, Sheet1!$Q$4:$Q$115,0)</f>
        <v>0</v>
      </c>
      <c r="I115" s="11"/>
      <c r="J115" s="11"/>
      <c r="K115" s="23">
        <f t="shared" si="12"/>
        <v>0</v>
      </c>
      <c r="L115" s="11"/>
      <c r="M115" s="11"/>
      <c r="N115" s="12"/>
      <c r="O115" s="19">
        <v>0</v>
      </c>
      <c r="P115" t="s">
        <v>144</v>
      </c>
      <c r="Q115" s="20"/>
    </row>
    <row r="117" spans="1:17" x14ac:dyDescent="0.25">
      <c r="A117" s="31"/>
      <c r="B117" s="2" t="s">
        <v>142</v>
      </c>
      <c r="C117" s="32"/>
      <c r="D117" s="33"/>
      <c r="E117" s="34"/>
      <c r="F117" s="35"/>
      <c r="G117" s="34"/>
      <c r="H117" s="34"/>
      <c r="I117" s="33"/>
      <c r="J117" s="34"/>
      <c r="K117" s="34"/>
      <c r="L117" s="36"/>
    </row>
    <row r="118" spans="1:17" ht="60" x14ac:dyDescent="0.25">
      <c r="A118" s="31"/>
      <c r="B118" s="45" t="s">
        <v>112</v>
      </c>
      <c r="C118" s="47" t="s">
        <v>347</v>
      </c>
      <c r="D118" s="47" t="s">
        <v>348</v>
      </c>
      <c r="E118" s="48"/>
      <c r="F118" s="49" t="s">
        <v>349</v>
      </c>
      <c r="G118" s="50" t="s">
        <v>350</v>
      </c>
      <c r="H118" s="48" t="s">
        <v>351</v>
      </c>
      <c r="I118" s="51"/>
      <c r="J118" s="48"/>
      <c r="K118" s="48" t="s">
        <v>352</v>
      </c>
      <c r="L118" s="52" t="s">
        <v>353</v>
      </c>
      <c r="M118" s="53" t="s">
        <v>354</v>
      </c>
      <c r="N118" s="46"/>
    </row>
    <row r="119" spans="1:17" ht="18.75" x14ac:dyDescent="0.3">
      <c r="A119" s="31"/>
      <c r="B119" t="s">
        <v>266</v>
      </c>
      <c r="C119" s="24">
        <f>IF(AND($C$2*F119&gt;K119,K119&lt;&gt;0),$C$2*F119-K119,0)</f>
        <v>0</v>
      </c>
      <c r="D119" s="22"/>
      <c r="E119" s="8"/>
      <c r="F119" s="22">
        <v>3</v>
      </c>
      <c r="G119" s="8">
        <v>3</v>
      </c>
      <c r="H119" s="8"/>
      <c r="I119" s="22"/>
      <c r="J119" s="8"/>
      <c r="K119" s="38">
        <f>G119+H119</f>
        <v>3</v>
      </c>
      <c r="L119" s="37">
        <v>6</v>
      </c>
      <c r="M119" s="37"/>
      <c r="N119" s="37" t="s">
        <v>94</v>
      </c>
      <c r="O119" s="41"/>
      <c r="P119" s="41"/>
    </row>
    <row r="120" spans="1:17" ht="18.75" x14ac:dyDescent="0.3">
      <c r="A120" s="31"/>
      <c r="B120" t="s">
        <v>91</v>
      </c>
      <c r="C120" s="24">
        <f t="shared" ref="C120:C130" si="13">IF(AND($C$2*F120&gt;K120,K120&lt;&gt;0),$C$2*F120-K120,0)</f>
        <v>0</v>
      </c>
      <c r="D120" s="22"/>
      <c r="E120" s="8"/>
      <c r="F120" s="22">
        <v>3</v>
      </c>
      <c r="G120" s="8">
        <v>3</v>
      </c>
      <c r="H120" s="8"/>
      <c r="I120" s="22"/>
      <c r="J120" s="8"/>
      <c r="K120" s="38">
        <f t="shared" ref="K120:K130" si="14">G120+H120</f>
        <v>3</v>
      </c>
      <c r="L120" s="37"/>
      <c r="M120" s="37"/>
      <c r="N120" s="37"/>
      <c r="O120" s="41"/>
      <c r="P120" s="41"/>
    </row>
    <row r="121" spans="1:17" ht="18.75" x14ac:dyDescent="0.3">
      <c r="A121" s="31"/>
      <c r="B121" t="s">
        <v>98</v>
      </c>
      <c r="C121" s="24">
        <f t="shared" si="13"/>
        <v>0</v>
      </c>
      <c r="D121" s="22"/>
      <c r="E121" s="8"/>
      <c r="F121" s="22">
        <v>5</v>
      </c>
      <c r="G121" s="8">
        <v>8</v>
      </c>
      <c r="H121" s="8"/>
      <c r="I121" s="22"/>
      <c r="J121" s="8"/>
      <c r="K121" s="38">
        <f t="shared" si="14"/>
        <v>8</v>
      </c>
      <c r="L121" s="37"/>
      <c r="M121" s="37"/>
      <c r="N121" s="37"/>
      <c r="O121" s="41"/>
    </row>
    <row r="122" spans="1:17" ht="18.75" x14ac:dyDescent="0.3">
      <c r="A122" s="31"/>
      <c r="B122" t="s">
        <v>97</v>
      </c>
      <c r="C122" s="24">
        <f t="shared" si="13"/>
        <v>2</v>
      </c>
      <c r="D122" s="22"/>
      <c r="E122" s="8"/>
      <c r="F122" s="22">
        <v>4</v>
      </c>
      <c r="G122" s="8">
        <v>2</v>
      </c>
      <c r="H122" s="8"/>
      <c r="I122" s="22"/>
      <c r="J122" s="8"/>
      <c r="K122" s="38">
        <f t="shared" si="14"/>
        <v>2</v>
      </c>
      <c r="L122" s="37"/>
      <c r="M122" s="37">
        <v>8</v>
      </c>
      <c r="N122" s="37" t="s">
        <v>94</v>
      </c>
      <c r="O122" s="41"/>
    </row>
    <row r="123" spans="1:17" ht="18.75" x14ac:dyDescent="0.3">
      <c r="A123" s="31"/>
      <c r="B123" t="s">
        <v>267</v>
      </c>
      <c r="C123" s="24">
        <f t="shared" si="13"/>
        <v>1</v>
      </c>
      <c r="D123" s="22"/>
      <c r="E123" s="8"/>
      <c r="F123" s="22">
        <v>4</v>
      </c>
      <c r="G123" s="8">
        <v>3</v>
      </c>
      <c r="H123" s="8"/>
      <c r="I123" s="22"/>
      <c r="J123" s="8"/>
      <c r="K123" s="38">
        <f t="shared" si="14"/>
        <v>3</v>
      </c>
      <c r="L123" s="37">
        <v>10</v>
      </c>
      <c r="M123" s="37"/>
      <c r="N123" s="37"/>
      <c r="O123" s="41"/>
    </row>
    <row r="124" spans="1:17" ht="18.75" x14ac:dyDescent="0.3">
      <c r="A124" s="31"/>
      <c r="B124" t="s">
        <v>268</v>
      </c>
      <c r="C124" s="24">
        <f t="shared" si="13"/>
        <v>2</v>
      </c>
      <c r="D124" s="22"/>
      <c r="E124" s="8"/>
      <c r="F124" s="22">
        <v>4</v>
      </c>
      <c r="G124" s="8">
        <v>2</v>
      </c>
      <c r="H124" s="8"/>
      <c r="I124" s="22"/>
      <c r="J124" s="8"/>
      <c r="K124" s="38">
        <f t="shared" si="14"/>
        <v>2</v>
      </c>
      <c r="L124" s="37">
        <v>10</v>
      </c>
      <c r="M124" s="37"/>
      <c r="N124" s="37"/>
      <c r="O124" s="41"/>
    </row>
    <row r="125" spans="1:17" ht="18.75" x14ac:dyDescent="0.3">
      <c r="A125" s="31"/>
      <c r="B125" t="s">
        <v>269</v>
      </c>
      <c r="C125" s="24">
        <f t="shared" si="13"/>
        <v>2</v>
      </c>
      <c r="D125" s="22"/>
      <c r="E125" s="8"/>
      <c r="F125" s="22">
        <v>4</v>
      </c>
      <c r="G125" s="8">
        <v>2</v>
      </c>
      <c r="H125" s="8"/>
      <c r="I125" s="22"/>
      <c r="J125" s="8"/>
      <c r="K125" s="38">
        <f t="shared" si="14"/>
        <v>2</v>
      </c>
      <c r="L125" s="37">
        <v>10</v>
      </c>
      <c r="M125" s="37"/>
      <c r="N125" s="37"/>
      <c r="O125" s="41"/>
    </row>
    <row r="126" spans="1:17" ht="18.75" x14ac:dyDescent="0.3">
      <c r="A126" s="31"/>
      <c r="B126" t="s">
        <v>270</v>
      </c>
      <c r="C126" s="24">
        <f t="shared" si="13"/>
        <v>3.5</v>
      </c>
      <c r="D126" s="40"/>
      <c r="E126" s="8"/>
      <c r="F126" s="22">
        <v>4</v>
      </c>
      <c r="G126" s="8">
        <v>0.5</v>
      </c>
      <c r="H126" s="8"/>
      <c r="I126" s="22"/>
      <c r="J126" s="8"/>
      <c r="K126" s="38">
        <f t="shared" si="14"/>
        <v>0.5</v>
      </c>
      <c r="L126" s="37">
        <v>10</v>
      </c>
      <c r="M126" s="37"/>
      <c r="N126" s="37"/>
      <c r="O126" s="41"/>
    </row>
    <row r="127" spans="1:17" ht="18.75" x14ac:dyDescent="0.3">
      <c r="B127" t="s">
        <v>95</v>
      </c>
      <c r="C127" s="24">
        <f t="shared" si="13"/>
        <v>1</v>
      </c>
      <c r="D127" s="22"/>
      <c r="E127" s="8"/>
      <c r="F127" s="22">
        <v>4</v>
      </c>
      <c r="G127" s="8">
        <v>3</v>
      </c>
      <c r="H127" s="8"/>
      <c r="I127" s="22"/>
      <c r="J127" s="8"/>
      <c r="K127" s="38">
        <f t="shared" si="14"/>
        <v>3</v>
      </c>
      <c r="L127" s="37"/>
      <c r="M127" s="37"/>
      <c r="N127" s="37"/>
      <c r="O127" s="41"/>
    </row>
    <row r="128" spans="1:17" x14ac:dyDescent="0.25">
      <c r="B128" t="s">
        <v>96</v>
      </c>
      <c r="C128" s="24">
        <f t="shared" si="13"/>
        <v>0</v>
      </c>
      <c r="D128" s="22"/>
      <c r="E128" s="8"/>
      <c r="F128" s="22">
        <v>2</v>
      </c>
      <c r="G128" s="8">
        <v>20</v>
      </c>
      <c r="H128" s="8"/>
      <c r="I128" s="22"/>
      <c r="J128" s="8"/>
      <c r="K128" s="38">
        <f t="shared" si="14"/>
        <v>20</v>
      </c>
      <c r="L128" s="37"/>
      <c r="M128" s="37"/>
      <c r="N128" s="37" t="s">
        <v>355</v>
      </c>
    </row>
    <row r="129" spans="2:15" x14ac:dyDescent="0.25">
      <c r="B129" t="s">
        <v>143</v>
      </c>
      <c r="C129" s="24">
        <f t="shared" si="13"/>
        <v>0</v>
      </c>
      <c r="D129" s="22"/>
      <c r="E129" s="8"/>
      <c r="F129" s="22">
        <v>1</v>
      </c>
      <c r="G129" s="8">
        <v>3</v>
      </c>
      <c r="H129" s="8"/>
      <c r="I129" s="22"/>
      <c r="J129" s="8"/>
      <c r="K129" s="38">
        <f t="shared" si="14"/>
        <v>3</v>
      </c>
      <c r="L129" s="37"/>
      <c r="M129" s="37"/>
      <c r="N129" s="37" t="s">
        <v>271</v>
      </c>
    </row>
    <row r="130" spans="2:15" ht="18.75" x14ac:dyDescent="0.3">
      <c r="B130" t="s">
        <v>345</v>
      </c>
      <c r="C130" s="24">
        <f t="shared" si="13"/>
        <v>0</v>
      </c>
      <c r="D130" s="22"/>
      <c r="E130" s="8"/>
      <c r="F130" s="22">
        <v>1</v>
      </c>
      <c r="G130" s="8">
        <v>1</v>
      </c>
      <c r="H130" s="8"/>
      <c r="I130" s="22"/>
      <c r="J130" s="8"/>
      <c r="K130" s="38">
        <f t="shared" si="14"/>
        <v>1</v>
      </c>
      <c r="L130" s="37"/>
      <c r="M130" s="37"/>
      <c r="N130" s="37" t="s">
        <v>346</v>
      </c>
      <c r="O130" s="41"/>
    </row>
    <row r="133" spans="2:15" x14ac:dyDescent="0.25">
      <c r="D133" s="2" t="s">
        <v>93</v>
      </c>
      <c r="K133" s="2"/>
    </row>
    <row r="134" spans="2:15" x14ac:dyDescent="0.25">
      <c r="D134" t="s">
        <v>337</v>
      </c>
      <c r="K134" s="2"/>
    </row>
    <row r="135" spans="2:15" x14ac:dyDescent="0.25">
      <c r="D135" t="s">
        <v>338</v>
      </c>
      <c r="K135" s="2"/>
    </row>
    <row r="136" spans="2:15" x14ac:dyDescent="0.25">
      <c r="D136" t="s">
        <v>343</v>
      </c>
    </row>
    <row r="137" spans="2:15" x14ac:dyDescent="0.25">
      <c r="D137" t="s">
        <v>344</v>
      </c>
    </row>
    <row r="138" spans="2:15" x14ac:dyDescent="0.25">
      <c r="D138" t="s">
        <v>137</v>
      </c>
    </row>
    <row r="139" spans="2:15" x14ac:dyDescent="0.25">
      <c r="D139" t="s">
        <v>107</v>
      </c>
    </row>
    <row r="140" spans="2:15" x14ac:dyDescent="0.25">
      <c r="D140" t="s">
        <v>272</v>
      </c>
    </row>
    <row r="141" spans="2:15" x14ac:dyDescent="0.25">
      <c r="D141" t="s">
        <v>273</v>
      </c>
    </row>
    <row r="142" spans="2:15" x14ac:dyDescent="0.25">
      <c r="D142" t="s">
        <v>138</v>
      </c>
    </row>
    <row r="143" spans="2:15" x14ac:dyDescent="0.25">
      <c r="D143" t="s">
        <v>340</v>
      </c>
    </row>
    <row r="144" spans="2:15" x14ac:dyDescent="0.25">
      <c r="D144" t="s">
        <v>341</v>
      </c>
    </row>
    <row r="145" spans="4:11" x14ac:dyDescent="0.25">
      <c r="D145" t="s">
        <v>342</v>
      </c>
    </row>
    <row r="146" spans="4:11" x14ac:dyDescent="0.25">
      <c r="D146" t="s">
        <v>339</v>
      </c>
    </row>
    <row r="147" spans="4:11" x14ac:dyDescent="0.25">
      <c r="D147" t="s">
        <v>274</v>
      </c>
    </row>
    <row r="148" spans="4:11" x14ac:dyDescent="0.25">
      <c r="D148" t="s">
        <v>275</v>
      </c>
    </row>
    <row r="149" spans="4:11" x14ac:dyDescent="0.25">
      <c r="D149" t="s">
        <v>276</v>
      </c>
    </row>
    <row r="150" spans="4:11" x14ac:dyDescent="0.25">
      <c r="D150" t="s">
        <v>277</v>
      </c>
    </row>
    <row r="151" spans="4:11" x14ac:dyDescent="0.25">
      <c r="D151" t="s">
        <v>139</v>
      </c>
      <c r="K151" s="3"/>
    </row>
    <row r="153" spans="4:11" x14ac:dyDescent="0.25">
      <c r="D153" s="2" t="s">
        <v>101</v>
      </c>
    </row>
    <row r="154" spans="4:11" x14ac:dyDescent="0.25">
      <c r="D154" t="s">
        <v>102</v>
      </c>
    </row>
    <row r="155" spans="4:11" x14ac:dyDescent="0.25">
      <c r="D155" t="s">
        <v>103</v>
      </c>
    </row>
    <row r="156" spans="4:11" x14ac:dyDescent="0.25">
      <c r="D156" t="s">
        <v>105</v>
      </c>
    </row>
    <row r="157" spans="4:11" x14ac:dyDescent="0.25">
      <c r="D157" t="s">
        <v>278</v>
      </c>
    </row>
    <row r="158" spans="4:11" x14ac:dyDescent="0.25">
      <c r="D158" t="s">
        <v>106</v>
      </c>
    </row>
    <row r="159" spans="4:11" x14ac:dyDescent="0.25">
      <c r="D159" t="s">
        <v>104</v>
      </c>
    </row>
    <row r="160" spans="4:11" x14ac:dyDescent="0.25">
      <c r="D160" t="s">
        <v>108</v>
      </c>
    </row>
    <row r="161" spans="4:4" x14ac:dyDescent="0.25">
      <c r="D161" t="s">
        <v>279</v>
      </c>
    </row>
    <row r="162" spans="4:4" x14ac:dyDescent="0.25">
      <c r="D162" t="s">
        <v>280</v>
      </c>
    </row>
    <row r="163" spans="4:4" x14ac:dyDescent="0.25">
      <c r="D163" t="s">
        <v>281</v>
      </c>
    </row>
    <row r="164" spans="4:4" x14ac:dyDescent="0.25">
      <c r="D164" t="s">
        <v>282</v>
      </c>
    </row>
    <row r="165" spans="4:4" x14ac:dyDescent="0.25">
      <c r="D165" t="s">
        <v>283</v>
      </c>
    </row>
    <row r="166" spans="4:4" x14ac:dyDescent="0.25">
      <c r="D166" t="s">
        <v>140</v>
      </c>
    </row>
    <row r="167" spans="4:4" x14ac:dyDescent="0.25">
      <c r="D167" s="15" t="s">
        <v>141</v>
      </c>
    </row>
    <row r="168" spans="4:4" x14ac:dyDescent="0.25">
      <c r="D168" t="s">
        <v>110</v>
      </c>
    </row>
    <row r="169" spans="4:4" x14ac:dyDescent="0.25">
      <c r="D169" t="s">
        <v>111</v>
      </c>
    </row>
    <row r="170" spans="4:4" x14ac:dyDescent="0.25">
      <c r="D170" t="s">
        <v>284</v>
      </c>
    </row>
    <row r="171" spans="4:4" x14ac:dyDescent="0.25">
      <c r="D171" t="s">
        <v>285</v>
      </c>
    </row>
    <row r="172" spans="4:4" x14ac:dyDescent="0.25">
      <c r="D172" t="s">
        <v>286</v>
      </c>
    </row>
    <row r="173" spans="4:4" x14ac:dyDescent="0.25">
      <c r="D173" t="s">
        <v>145</v>
      </c>
    </row>
    <row r="174" spans="4:4" x14ac:dyDescent="0.25">
      <c r="D174" t="s">
        <v>146</v>
      </c>
    </row>
    <row r="175" spans="4:4" x14ac:dyDescent="0.25">
      <c r="D175" t="s">
        <v>148</v>
      </c>
    </row>
    <row r="176" spans="4:4" x14ac:dyDescent="0.25">
      <c r="D176" s="16" t="s">
        <v>147</v>
      </c>
    </row>
  </sheetData>
  <phoneticPr fontId="7" type="noConversion"/>
  <conditionalFormatting sqref="C4:C115">
    <cfRule type="cellIs" dxfId="1" priority="1" operator="greaterThan">
      <formula>0</formula>
    </cfRule>
  </conditionalFormatting>
  <conditionalFormatting sqref="E4:E115">
    <cfRule type="cellIs" dxfId="0" priority="2" operator="equal">
      <formula>1</formula>
    </cfRule>
  </conditionalFormatting>
  <pageMargins left="0.7" right="0.7" top="0.75" bottom="0.75" header="0.3" footer="0.3"/>
  <pageSetup orientation="landscape" horizontalDpi="300" verticalDpi="300" r:id="rId1"/>
  <headerFooter>
    <oddHeader>Page &amp;P of &amp;N</oddHead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Cannon</dc:creator>
  <cp:lastModifiedBy>Don Cannon</cp:lastModifiedBy>
  <cp:lastPrinted>2026-07-25T14:08:32Z</cp:lastPrinted>
  <dcterms:created xsi:type="dcterms:W3CDTF">2026-02-02T06:49:59Z</dcterms:created>
  <dcterms:modified xsi:type="dcterms:W3CDTF">2026-07-25T14:09:18Z</dcterms:modified>
</cp:coreProperties>
</file>